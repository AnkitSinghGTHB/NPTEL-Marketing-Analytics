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6\Session 1 and 2\"/>
    </mc:Choice>
  </mc:AlternateContent>
  <bookViews>
    <workbookView xWindow="0" yWindow="132" windowWidth="15312" windowHeight="7968"/>
  </bookViews>
  <sheets>
    <sheet name="Sheet1" sheetId="1" r:id="rId1"/>
    <sheet name="Sheet2" sheetId="2" r:id="rId2"/>
    <sheet name="Sheet3" sheetId="3" r:id="rId3"/>
  </sheets>
  <definedNames>
    <definedName name="solver_cir1" localSheetId="0" hidden="1">1</definedName>
    <definedName name="solver_cir2" localSheetId="0" hidden="1">1</definedName>
    <definedName name="solver_cir3" localSheetId="0" hidden="1">1</definedName>
    <definedName name="solver_cir4" localSheetId="0" hidden="1">1</definedName>
    <definedName name="solver_cir5" localSheetId="0" hidden="1">1</definedName>
    <definedName name="solver_cir6" localSheetId="0" hidden="1">1</definedName>
    <definedName name="solver_cir7" localSheetId="0" hidden="1">1</definedName>
    <definedName name="solver_cir8" localSheetId="0" hidden="1">1</definedName>
    <definedName name="solver_cir9" localSheetId="0" hidden="1">1</definedName>
    <definedName name="solver_con1" localSheetId="0" hidden="1">" "</definedName>
    <definedName name="solver_con2" localSheetId="0" hidden="1">" "</definedName>
    <definedName name="solver_con3" localSheetId="0" hidden="1">" "</definedName>
    <definedName name="solver_con4" localSheetId="0" hidden="1">" "</definedName>
    <definedName name="solver_con5" localSheetId="0" hidden="1">" "</definedName>
    <definedName name="solver_con6" localSheetId="0" hidden="1">" "</definedName>
    <definedName name="solver_con7" localSheetId="0" hidden="1">" "</definedName>
    <definedName name="solver_con8" localSheetId="0" hidden="1">" "</definedName>
    <definedName name="solver_con9" localSheetId="0" hidden="1">" "</definedName>
    <definedName name="solver_cvg" localSheetId="0" hidden="1">0.0001</definedName>
    <definedName name="solver_dia" localSheetId="0" hidden="1">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Sheet1!$M$1</definedName>
    <definedName name="solver_lhs10" localSheetId="0" hidden="1">Sheet1!$M$3</definedName>
    <definedName name="solver_lhs11" localSheetId="0" hidden="1">Sheet1!$I$1</definedName>
    <definedName name="solver_lhs12" localSheetId="0" hidden="1">Sheet1!$M$5</definedName>
    <definedName name="solver_lhs2" localSheetId="0" hidden="1">Sheet1!$I$1</definedName>
    <definedName name="solver_lhs3" localSheetId="0" hidden="1">Sheet1!$M$1:$M$9</definedName>
    <definedName name="solver_lhs4" localSheetId="0" hidden="1">Sheet1!$M$11</definedName>
    <definedName name="solver_lhs5" localSheetId="0" hidden="1">Sheet1!$M$6:$M$9</definedName>
    <definedName name="solver_lhs6" localSheetId="0" hidden="1">Sheet1!$M$2</definedName>
    <definedName name="solver_lhs7" localSheetId="0" hidden="1">Sheet1!$M$2</definedName>
    <definedName name="solver_lhs8" localSheetId="0" hidden="1">Sheet1!$M$3</definedName>
    <definedName name="solver_lhs9" localSheetId="0" hidden="1">Sheet1!$M$4</definedName>
    <definedName name="solver_lin" localSheetId="0" hidden="1">2</definedName>
    <definedName name="solver_lva" localSheetId="0" hidden="1">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psi" localSheetId="0" hidden="1">0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11" localSheetId="0" hidden="1">3</definedName>
    <definedName name="solver_rel12" localSheetId="0" hidden="1">1</definedName>
    <definedName name="solver_rel2" localSheetId="0" hidden="1">1</definedName>
    <definedName name="solver_rel3" localSheetId="0" hidden="1">3</definedName>
    <definedName name="solver_rel4" localSheetId="0" hidden="1">2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ep" localSheetId="0" hidden="1">0</definedName>
    <definedName name="solver_rhs1" localSheetId="0" hidden="1">10</definedName>
    <definedName name="solver_rhs10" localSheetId="0" hidden="1">2</definedName>
    <definedName name="solver_rhs11" localSheetId="0" hidden="1">0</definedName>
    <definedName name="solver_rhs12" localSheetId="0" hidden="1">1000</definedName>
    <definedName name="solver_rhs2" localSheetId="0" hidden="1">100</definedName>
    <definedName name="solver_rhs3" localSheetId="0" hidden="1">0</definedName>
    <definedName name="solver_rhs4" localSheetId="0" hidden="1">1</definedName>
    <definedName name="solver_rhs5" localSheetId="0" hidden="1">5</definedName>
    <definedName name="solver_rhs6" localSheetId="0" hidden="1">6</definedName>
    <definedName name="solver_rhs7" localSheetId="0" hidden="1">10</definedName>
    <definedName name="solver_rhs8" localSheetId="0" hidden="1">0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ms" localSheetId="0" hidden="1">0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ar" localSheetId="0" hidden="1">" "</definedName>
    <definedName name="solver_ver" localSheetId="0" hidden="1">3</definedName>
    <definedName name="solver_vir" localSheetId="0" hidden="1">1</definedName>
    <definedName name="solver_vol" localSheetId="0" hidden="1">0</definedName>
  </definedNames>
  <calcPr calcId="152511"/>
</workbook>
</file>

<file path=xl/calcChain.xml><?xml version="1.0" encoding="utf-8"?>
<calcChain xmlns="http://schemas.openxmlformats.org/spreadsheetml/2006/main">
  <c r="M11" i="1" l="1"/>
</calcChain>
</file>

<file path=xl/sharedStrings.xml><?xml version="1.0" encoding="utf-8"?>
<sst xmlns="http://schemas.openxmlformats.org/spreadsheetml/2006/main" count="19" uniqueCount="19">
  <si>
    <t>trend</t>
  </si>
  <si>
    <t>lambda</t>
  </si>
  <si>
    <t>elasticity</t>
  </si>
  <si>
    <t>Ads</t>
  </si>
  <si>
    <t>Adstock</t>
  </si>
  <si>
    <t>forecast</t>
  </si>
  <si>
    <t>actual</t>
  </si>
  <si>
    <t>const</t>
  </si>
  <si>
    <t>Price</t>
  </si>
  <si>
    <t>adeffect</t>
  </si>
  <si>
    <t>APE</t>
  </si>
  <si>
    <t>MAPE</t>
  </si>
  <si>
    <t>mean</t>
  </si>
  <si>
    <t>Quarter#</t>
  </si>
  <si>
    <t>Quarter of Year</t>
  </si>
  <si>
    <t>intialadstock</t>
  </si>
  <si>
    <t>Adstock = lambda x Previousstock + Current ad</t>
  </si>
  <si>
    <t>Sales = const     X       (trend ^Qtrno +  Adeffect x Adstock)    X      Price^(-elasticity)     X      Seasonal Index</t>
  </si>
  <si>
    <t>Adstock=lambdaxPreviousstock + 1/(1+exp(-alphax Current ad))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</si>
</sst>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255" wrapText="1"/>
    </xf>
    <xf numFmtId="0" fontId="1" fillId="0" borderId="0" xfId="0" applyFont="1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29"/>
  <sheetViews>
    <sheetView tabSelected="1" workbookViewId="0">
      <selection activeCell="O10" sqref="O10"/>
    </sheetView>
  </sheetViews>
  <sheetFormatPr defaultColWidth="9.109375" defaultRowHeight="14.4" x14ac:dyDescent="0.3"/>
  <cols>
    <col min="1" max="5" width="9.109375" style="1"/>
    <col min="6" max="6" width="10.5546875" style="1" customWidth="1"/>
    <col min="7" max="7" width="9.109375" style="1"/>
    <col min="8" max="8" width="12.33203125" style="1" bestFit="1" customWidth="1"/>
    <col min="9" max="9" width="9.109375" style="1"/>
    <col min="10" max="10" width="10.5546875" style="1" bestFit="1" customWidth="1"/>
    <col min="11" max="16384" width="9.109375" style="1"/>
  </cols>
  <sheetData>
    <row r="1" spans="3:15" x14ac:dyDescent="0.3">
      <c r="H1" s="1" t="s">
        <v>15</v>
      </c>
      <c r="I1" s="4">
        <v>10</v>
      </c>
      <c r="L1" s="1" t="s">
        <v>9</v>
      </c>
      <c r="M1" s="4">
        <v>1</v>
      </c>
    </row>
    <row r="2" spans="3:15" x14ac:dyDescent="0.3">
      <c r="L2" s="1" t="s">
        <v>2</v>
      </c>
      <c r="M2" s="4">
        <v>1</v>
      </c>
      <c r="O2" s="1" t="s">
        <v>16</v>
      </c>
    </row>
    <row r="3" spans="3:15" x14ac:dyDescent="0.3">
      <c r="E3" s="2"/>
      <c r="F3" s="2"/>
      <c r="G3" s="2"/>
      <c r="H3" s="2"/>
      <c r="I3" s="2"/>
      <c r="J3" s="1" t="s">
        <v>11</v>
      </c>
      <c r="L3" s="1" t="s">
        <v>0</v>
      </c>
      <c r="M3" s="4">
        <v>1</v>
      </c>
    </row>
    <row r="4" spans="3:15" x14ac:dyDescent="0.3">
      <c r="J4" s="4"/>
      <c r="L4" s="1" t="s">
        <v>1</v>
      </c>
      <c r="M4" s="4">
        <v>1</v>
      </c>
      <c r="O4" s="1" t="s">
        <v>17</v>
      </c>
    </row>
    <row r="5" spans="3:15" ht="28.8" x14ac:dyDescent="0.3">
      <c r="C5" s="3" t="s">
        <v>14</v>
      </c>
      <c r="D5" s="1" t="s">
        <v>13</v>
      </c>
      <c r="E5" s="1" t="s">
        <v>3</v>
      </c>
      <c r="F5" s="1" t="s">
        <v>4</v>
      </c>
      <c r="G5" s="1" t="s">
        <v>8</v>
      </c>
      <c r="H5" s="1" t="s">
        <v>5</v>
      </c>
      <c r="I5" s="1" t="s">
        <v>6</v>
      </c>
      <c r="J5" s="1" t="s">
        <v>10</v>
      </c>
      <c r="L5" s="1" t="s">
        <v>7</v>
      </c>
      <c r="M5" s="4">
        <v>1</v>
      </c>
    </row>
    <row r="6" spans="3:15" x14ac:dyDescent="0.3">
      <c r="C6" s="1">
        <v>1</v>
      </c>
      <c r="D6" s="1">
        <v>1</v>
      </c>
      <c r="E6" s="1">
        <v>45</v>
      </c>
      <c r="F6" s="4"/>
      <c r="G6" s="4">
        <v>42</v>
      </c>
      <c r="H6" s="4"/>
      <c r="I6" s="4">
        <v>2.6391836193336351</v>
      </c>
      <c r="J6" s="4"/>
      <c r="L6" s="1">
        <v>1</v>
      </c>
      <c r="M6" s="4">
        <v>1</v>
      </c>
      <c r="O6" s="1" t="s">
        <v>18</v>
      </c>
    </row>
    <row r="7" spans="3:15" x14ac:dyDescent="0.3">
      <c r="C7" s="1">
        <v>2</v>
      </c>
      <c r="D7" s="1">
        <v>2</v>
      </c>
      <c r="E7" s="1">
        <v>79</v>
      </c>
      <c r="F7" s="4"/>
      <c r="G7" s="4">
        <v>43</v>
      </c>
      <c r="H7" s="4"/>
      <c r="I7" s="4">
        <v>3.4857414789356485</v>
      </c>
      <c r="J7" s="4"/>
      <c r="L7" s="1">
        <v>2</v>
      </c>
      <c r="M7" s="4">
        <v>1</v>
      </c>
    </row>
    <row r="8" spans="3:15" x14ac:dyDescent="0.3">
      <c r="C8" s="1">
        <v>3</v>
      </c>
      <c r="D8" s="1">
        <v>3</v>
      </c>
      <c r="E8" s="1">
        <v>60</v>
      </c>
      <c r="F8" s="4"/>
      <c r="G8" s="4">
        <v>35</v>
      </c>
      <c r="H8" s="4"/>
      <c r="I8" s="4">
        <v>6.1564584828218178</v>
      </c>
      <c r="J8" s="4"/>
      <c r="L8" s="1">
        <v>3</v>
      </c>
      <c r="M8" s="4">
        <v>1</v>
      </c>
    </row>
    <row r="9" spans="3:15" x14ac:dyDescent="0.3">
      <c r="C9" s="1">
        <v>4</v>
      </c>
      <c r="D9" s="1">
        <v>4</v>
      </c>
      <c r="E9" s="1">
        <v>74</v>
      </c>
      <c r="F9" s="4"/>
      <c r="G9" s="4">
        <v>37</v>
      </c>
      <c r="H9" s="4"/>
      <c r="I9" s="4">
        <v>12.560775347691958</v>
      </c>
      <c r="J9" s="4"/>
      <c r="L9" s="1">
        <v>4</v>
      </c>
      <c r="M9" s="4">
        <v>1</v>
      </c>
    </row>
    <row r="10" spans="3:15" x14ac:dyDescent="0.3">
      <c r="C10" s="1">
        <v>1</v>
      </c>
      <c r="D10" s="1">
        <v>5</v>
      </c>
      <c r="E10" s="1">
        <v>46</v>
      </c>
      <c r="F10" s="4"/>
      <c r="G10" s="4">
        <v>38</v>
      </c>
      <c r="H10" s="4"/>
      <c r="I10" s="4">
        <v>7.2629430954600291</v>
      </c>
      <c r="J10" s="4"/>
      <c r="M10" s="4"/>
    </row>
    <row r="11" spans="3:15" x14ac:dyDescent="0.3">
      <c r="C11" s="1">
        <v>2</v>
      </c>
      <c r="D11" s="1">
        <v>6</v>
      </c>
      <c r="E11" s="1">
        <v>44</v>
      </c>
      <c r="F11" s="4"/>
      <c r="G11" s="4">
        <v>37</v>
      </c>
      <c r="H11" s="4"/>
      <c r="I11" s="4">
        <v>6.3542549554095942</v>
      </c>
      <c r="J11" s="4"/>
      <c r="L11" s="1" t="s">
        <v>12</v>
      </c>
      <c r="M11" s="4">
        <f>AVERAGE(M6:M9)</f>
        <v>1</v>
      </c>
    </row>
    <row r="12" spans="3:15" x14ac:dyDescent="0.3">
      <c r="C12" s="1">
        <v>3</v>
      </c>
      <c r="D12" s="1">
        <v>7</v>
      </c>
      <c r="E12" s="1">
        <v>36</v>
      </c>
      <c r="F12" s="4"/>
      <c r="G12" s="4">
        <v>37</v>
      </c>
      <c r="H12" s="4"/>
      <c r="I12" s="4">
        <v>8.0298562564032281</v>
      </c>
      <c r="J12" s="4"/>
    </row>
    <row r="13" spans="3:15" x14ac:dyDescent="0.3">
      <c r="C13" s="1">
        <v>4</v>
      </c>
      <c r="D13" s="1">
        <v>8</v>
      </c>
      <c r="E13" s="1">
        <v>30</v>
      </c>
      <c r="F13" s="4"/>
      <c r="G13" s="4">
        <v>44</v>
      </c>
      <c r="H13" s="4"/>
      <c r="I13" s="4">
        <v>13.891886311938958</v>
      </c>
      <c r="J13" s="4"/>
    </row>
    <row r="14" spans="3:15" x14ac:dyDescent="0.3">
      <c r="C14" s="1">
        <v>1</v>
      </c>
      <c r="D14" s="1">
        <v>9</v>
      </c>
      <c r="E14" s="1">
        <v>78</v>
      </c>
      <c r="F14" s="4"/>
      <c r="G14" s="4">
        <v>45</v>
      </c>
      <c r="H14" s="4"/>
      <c r="I14" s="4">
        <v>7.5659587151753254</v>
      </c>
      <c r="J14" s="4"/>
    </row>
    <row r="15" spans="3:15" x14ac:dyDescent="0.3">
      <c r="C15" s="1">
        <v>2</v>
      </c>
      <c r="D15" s="1">
        <v>10</v>
      </c>
      <c r="E15" s="1">
        <v>49</v>
      </c>
      <c r="F15" s="4"/>
      <c r="G15" s="4">
        <v>42</v>
      </c>
      <c r="H15" s="4"/>
      <c r="I15" s="4">
        <v>6.7614108755435458</v>
      </c>
      <c r="J15" s="4"/>
    </row>
    <row r="16" spans="3:15" x14ac:dyDescent="0.3">
      <c r="C16" s="1">
        <v>3</v>
      </c>
      <c r="D16" s="1">
        <v>11</v>
      </c>
      <c r="E16" s="1">
        <v>59</v>
      </c>
      <c r="F16" s="4"/>
      <c r="G16" s="4">
        <v>38</v>
      </c>
      <c r="H16" s="4"/>
      <c r="I16" s="4">
        <v>9.0736227439826198</v>
      </c>
      <c r="J16" s="4"/>
    </row>
    <row r="17" spans="3:10" x14ac:dyDescent="0.3">
      <c r="C17" s="1">
        <v>4</v>
      </c>
      <c r="D17" s="1">
        <v>12</v>
      </c>
      <c r="E17" s="1">
        <v>67</v>
      </c>
      <c r="F17" s="4"/>
      <c r="G17" s="4">
        <v>46</v>
      </c>
      <c r="H17" s="4"/>
      <c r="I17" s="4">
        <v>16.654608732681865</v>
      </c>
      <c r="J17" s="4"/>
    </row>
    <row r="18" spans="3:10" x14ac:dyDescent="0.3">
      <c r="C18" s="1">
        <v>1</v>
      </c>
      <c r="D18" s="1">
        <v>13</v>
      </c>
      <c r="E18" s="1">
        <v>55</v>
      </c>
      <c r="F18" s="4"/>
      <c r="G18" s="4">
        <v>40</v>
      </c>
      <c r="H18" s="4"/>
      <c r="I18" s="4">
        <v>10.517274810398122</v>
      </c>
      <c r="J18" s="4"/>
    </row>
    <row r="19" spans="3:10" x14ac:dyDescent="0.3">
      <c r="C19" s="1">
        <v>2</v>
      </c>
      <c r="D19" s="1">
        <v>14</v>
      </c>
      <c r="E19" s="1">
        <v>42</v>
      </c>
      <c r="F19" s="4"/>
      <c r="G19" s="4">
        <v>43</v>
      </c>
      <c r="H19" s="4"/>
      <c r="I19" s="4">
        <v>8.6470397307806817</v>
      </c>
      <c r="J19" s="4"/>
    </row>
    <row r="20" spans="3:10" x14ac:dyDescent="0.3">
      <c r="C20" s="1">
        <v>3</v>
      </c>
      <c r="D20" s="1">
        <v>15</v>
      </c>
      <c r="E20" s="1">
        <v>57</v>
      </c>
      <c r="F20" s="4"/>
      <c r="G20" s="4">
        <v>44</v>
      </c>
      <c r="H20" s="4"/>
      <c r="I20" s="4">
        <v>11.270781836981193</v>
      </c>
      <c r="J20" s="4"/>
    </row>
    <row r="21" spans="3:10" x14ac:dyDescent="0.3">
      <c r="C21" s="1">
        <v>4</v>
      </c>
      <c r="D21" s="1">
        <v>16</v>
      </c>
      <c r="E21" s="1">
        <v>23</v>
      </c>
      <c r="F21" s="4"/>
      <c r="G21" s="4">
        <v>35</v>
      </c>
      <c r="H21" s="4"/>
      <c r="I21" s="4">
        <v>29.03057247100169</v>
      </c>
      <c r="J21" s="4"/>
    </row>
    <row r="22" spans="3:10" x14ac:dyDescent="0.3">
      <c r="C22" s="1">
        <v>1</v>
      </c>
      <c r="D22" s="1">
        <v>17</v>
      </c>
      <c r="E22" s="1">
        <v>27</v>
      </c>
      <c r="F22" s="4"/>
      <c r="G22" s="4">
        <v>41</v>
      </c>
      <c r="H22" s="4"/>
      <c r="I22" s="4">
        <v>10.92899670619971</v>
      </c>
      <c r="J22" s="4"/>
    </row>
    <row r="23" spans="3:10" x14ac:dyDescent="0.3">
      <c r="C23" s="1">
        <v>2</v>
      </c>
      <c r="D23" s="1">
        <v>18</v>
      </c>
      <c r="E23" s="1">
        <v>40</v>
      </c>
      <c r="F23" s="4"/>
      <c r="G23" s="4">
        <v>41</v>
      </c>
      <c r="H23" s="4"/>
      <c r="I23" s="4">
        <v>9.8557299931288078</v>
      </c>
      <c r="J23" s="4"/>
    </row>
    <row r="24" spans="3:10" x14ac:dyDescent="0.3">
      <c r="C24" s="1">
        <v>3</v>
      </c>
      <c r="D24" s="1">
        <v>19</v>
      </c>
      <c r="E24" s="1">
        <v>25</v>
      </c>
      <c r="F24" s="4"/>
      <c r="G24" s="4">
        <v>42</v>
      </c>
      <c r="H24" s="4"/>
      <c r="I24" s="4">
        <v>12.660589179223576</v>
      </c>
      <c r="J24" s="4"/>
    </row>
    <row r="25" spans="3:10" x14ac:dyDescent="0.3">
      <c r="C25" s="1">
        <v>4</v>
      </c>
      <c r="D25" s="1">
        <v>20</v>
      </c>
      <c r="E25" s="1">
        <v>30</v>
      </c>
      <c r="F25" s="4"/>
      <c r="G25" s="4">
        <v>43</v>
      </c>
      <c r="H25" s="4"/>
      <c r="I25" s="4">
        <v>26.056392988690813</v>
      </c>
      <c r="J25" s="4"/>
    </row>
    <row r="26" spans="3:10" x14ac:dyDescent="0.3">
      <c r="C26" s="1">
        <v>1</v>
      </c>
      <c r="D26" s="1">
        <v>21</v>
      </c>
      <c r="E26" s="1">
        <v>67</v>
      </c>
      <c r="F26" s="4"/>
      <c r="G26" s="4">
        <v>46</v>
      </c>
      <c r="H26" s="4"/>
      <c r="I26" s="4">
        <v>13.730110079023319</v>
      </c>
      <c r="J26" s="4"/>
    </row>
    <row r="27" spans="3:10" x14ac:dyDescent="0.3">
      <c r="C27" s="1">
        <v>2</v>
      </c>
      <c r="D27" s="1">
        <v>22</v>
      </c>
      <c r="E27" s="1">
        <v>27</v>
      </c>
      <c r="F27" s="4"/>
      <c r="G27" s="4">
        <v>42</v>
      </c>
      <c r="H27" s="4"/>
      <c r="I27" s="4">
        <v>13.51290860816207</v>
      </c>
      <c r="J27" s="4"/>
    </row>
    <row r="28" spans="3:10" x14ac:dyDescent="0.3">
      <c r="C28" s="1">
        <v>3</v>
      </c>
      <c r="D28" s="1">
        <v>23</v>
      </c>
      <c r="E28" s="1">
        <v>53</v>
      </c>
      <c r="F28" s="4"/>
      <c r="G28" s="4">
        <v>42</v>
      </c>
      <c r="H28" s="4"/>
      <c r="I28" s="4">
        <v>17.160691619413658</v>
      </c>
      <c r="J28" s="4"/>
    </row>
    <row r="29" spans="3:10" x14ac:dyDescent="0.3">
      <c r="C29" s="1">
        <v>4</v>
      </c>
      <c r="D29" s="1">
        <v>24</v>
      </c>
      <c r="E29" s="1">
        <v>56</v>
      </c>
      <c r="F29" s="4"/>
      <c r="G29" s="4">
        <v>42</v>
      </c>
      <c r="H29" s="4"/>
      <c r="I29" s="4">
        <v>43.226774533452868</v>
      </c>
      <c r="J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" sqref="D3:G1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swagato</cp:lastModifiedBy>
  <dcterms:created xsi:type="dcterms:W3CDTF">2010-03-28T01:43:01Z</dcterms:created>
  <dcterms:modified xsi:type="dcterms:W3CDTF">2019-12-03T06:23:09Z</dcterms:modified>
</cp:coreProperties>
</file>