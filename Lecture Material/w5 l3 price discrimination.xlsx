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som29\Dropbox\iitkgp faculty\Courses\marketing analytics nptel\Sessions\Week5\"/>
    </mc:Choice>
  </mc:AlternateContent>
  <bookViews>
    <workbookView xWindow="0" yWindow="0" windowWidth="16392" windowHeight="6936" activeTab="2"/>
  </bookViews>
  <sheets>
    <sheet name="demand curve" sheetId="1" r:id="rId1"/>
    <sheet name="single price" sheetId="2" r:id="rId2"/>
    <sheet name="Segmentation" sheetId="3" r:id="rId3"/>
    <sheet name="Segmentation with capacity" sheetId="4" r:id="rId4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olver_adj" localSheetId="2" hidden="1">Segmentation!$F$10:$F$11</definedName>
    <definedName name="solver_adj" localSheetId="3" hidden="1">'Segmentation with capacity'!$F$8:$F$9</definedName>
    <definedName name="solver_adj" localSheetId="1" hidden="1">'single price'!$G$8</definedName>
    <definedName name="solver_cvg" localSheetId="2" hidden="1">0.0001</definedName>
    <definedName name="solver_cvg" localSheetId="3" hidden="1">0.0001</definedName>
    <definedName name="solver_cvg" localSheetId="1" hidden="1">0.0001</definedName>
    <definedName name="solver_drv" localSheetId="2" hidden="1">1</definedName>
    <definedName name="solver_drv" localSheetId="3" hidden="1">1</definedName>
    <definedName name="solver_drv" localSheetId="1" hidden="1">1</definedName>
    <definedName name="solver_eng" localSheetId="2" hidden="1">1</definedName>
    <definedName name="solver_eng" localSheetId="3" hidden="1">1</definedName>
    <definedName name="solver_eng" localSheetId="1" hidden="1">1</definedName>
    <definedName name="solver_est" localSheetId="2" hidden="1">1</definedName>
    <definedName name="solver_est" localSheetId="3" hidden="1">1</definedName>
    <definedName name="solver_est" localSheetId="1" hidden="1">1</definedName>
    <definedName name="solver_itr" localSheetId="2" hidden="1">2147483647</definedName>
    <definedName name="solver_itr" localSheetId="3" hidden="1">2147483647</definedName>
    <definedName name="solver_itr" localSheetId="1" hidden="1">2147483647</definedName>
    <definedName name="solver_lhs1" localSheetId="3" hidden="1">'Segmentation with capacity'!$F$16</definedName>
    <definedName name="solver_mip" localSheetId="2" hidden="1">2147483647</definedName>
    <definedName name="solver_mip" localSheetId="3" hidden="1">2147483647</definedName>
    <definedName name="solver_mip" localSheetId="1" hidden="1">2147483647</definedName>
    <definedName name="solver_mni" localSheetId="2" hidden="1">30</definedName>
    <definedName name="solver_mni" localSheetId="3" hidden="1">30</definedName>
    <definedName name="solver_mni" localSheetId="1" hidden="1">30</definedName>
    <definedName name="solver_mrt" localSheetId="2" hidden="1">0.075</definedName>
    <definedName name="solver_mrt" localSheetId="3" hidden="1">0.075</definedName>
    <definedName name="solver_mrt" localSheetId="1" hidden="1">0.075</definedName>
    <definedName name="solver_msl" localSheetId="2" hidden="1">2</definedName>
    <definedName name="solver_msl" localSheetId="3" hidden="1">2</definedName>
    <definedName name="solver_msl" localSheetId="1" hidden="1">2</definedName>
    <definedName name="solver_neg" localSheetId="2" hidden="1">1</definedName>
    <definedName name="solver_neg" localSheetId="3" hidden="1">1</definedName>
    <definedName name="solver_neg" localSheetId="1" hidden="1">1</definedName>
    <definedName name="solver_nod" localSheetId="2" hidden="1">2147483647</definedName>
    <definedName name="solver_nod" localSheetId="3" hidden="1">2147483647</definedName>
    <definedName name="solver_nod" localSheetId="1" hidden="1">2147483647</definedName>
    <definedName name="solver_num" localSheetId="2" hidden="1">0</definedName>
    <definedName name="solver_num" localSheetId="3" hidden="1">1</definedName>
    <definedName name="solver_num" localSheetId="1" hidden="1">0</definedName>
    <definedName name="solver_nwt" localSheetId="2" hidden="1">1</definedName>
    <definedName name="solver_nwt" localSheetId="3" hidden="1">1</definedName>
    <definedName name="solver_nwt" localSheetId="1" hidden="1">1</definedName>
    <definedName name="solver_opt" localSheetId="2" hidden="1">Segmentation!$F$16</definedName>
    <definedName name="solver_opt" localSheetId="3" hidden="1">'Segmentation with capacity'!$F$14</definedName>
    <definedName name="solver_opt" localSheetId="1" hidden="1">'single price'!$G$10</definedName>
    <definedName name="solver_pre" localSheetId="2" hidden="1">0.000001</definedName>
    <definedName name="solver_pre" localSheetId="3" hidden="1">0.000001</definedName>
    <definedName name="solver_pre" localSheetId="1" hidden="1">0.000001</definedName>
    <definedName name="solver_rbv" localSheetId="2" hidden="1">1</definedName>
    <definedName name="solver_rbv" localSheetId="3" hidden="1">1</definedName>
    <definedName name="solver_rbv" localSheetId="1" hidden="1">1</definedName>
    <definedName name="solver_rel1" localSheetId="3" hidden="1">1</definedName>
    <definedName name="solver_rhs1" localSheetId="3" hidden="1">'Segmentation with capacity'!$H$16</definedName>
    <definedName name="solver_rlx" localSheetId="2" hidden="1">2</definedName>
    <definedName name="solver_rlx" localSheetId="3" hidden="1">2</definedName>
    <definedName name="solver_rlx" localSheetId="1" hidden="1">2</definedName>
    <definedName name="solver_rsd" localSheetId="2" hidden="1">0</definedName>
    <definedName name="solver_rsd" localSheetId="3" hidden="1">0</definedName>
    <definedName name="solver_rsd" localSheetId="1" hidden="1">0</definedName>
    <definedName name="solver_scl" localSheetId="2" hidden="1">1</definedName>
    <definedName name="solver_scl" localSheetId="3" hidden="1">1</definedName>
    <definedName name="solver_scl" localSheetId="1" hidden="1">1</definedName>
    <definedName name="solver_sho" localSheetId="2" hidden="1">2</definedName>
    <definedName name="solver_sho" localSheetId="3" hidden="1">2</definedName>
    <definedName name="solver_sho" localSheetId="1" hidden="1">2</definedName>
    <definedName name="solver_ssz" localSheetId="2" hidden="1">100</definedName>
    <definedName name="solver_ssz" localSheetId="3" hidden="1">100</definedName>
    <definedName name="solver_ssz" localSheetId="1" hidden="1">100</definedName>
    <definedName name="solver_tim" localSheetId="2" hidden="1">2147483647</definedName>
    <definedName name="solver_tim" localSheetId="3" hidden="1">2147483647</definedName>
    <definedName name="solver_tim" localSheetId="1" hidden="1">2147483647</definedName>
    <definedName name="solver_tol" localSheetId="2" hidden="1">0.01</definedName>
    <definedName name="solver_tol" localSheetId="3" hidden="1">0.01</definedName>
    <definedName name="solver_tol" localSheetId="1" hidden="1">0.01</definedName>
    <definedName name="solver_typ" localSheetId="2" hidden="1">1</definedName>
    <definedName name="solver_typ" localSheetId="3" hidden="1">1</definedName>
    <definedName name="solver_typ" localSheetId="1" hidden="1">1</definedName>
    <definedName name="solver_val" localSheetId="2" hidden="1">0</definedName>
    <definedName name="solver_val" localSheetId="3" hidden="1">0</definedName>
    <definedName name="solver_val" localSheetId="1" hidden="1">0</definedName>
    <definedName name="solver_ver" localSheetId="2" hidden="1">3</definedName>
    <definedName name="solver_ver" localSheetId="3" hidden="1">3</definedName>
    <definedName name="solver_ver" localSheetId="1" hidden="1">3</definedName>
  </definedNames>
  <calcPr calcId="152511"/>
</workbook>
</file>

<file path=xl/calcChain.xml><?xml version="1.0" encoding="utf-8"?>
<calcChain xmlns="http://schemas.openxmlformats.org/spreadsheetml/2006/main">
  <c r="F15" i="3" l="1"/>
  <c r="F14" i="3"/>
  <c r="F13" i="3"/>
  <c r="F12" i="3"/>
  <c r="F10" i="4"/>
  <c r="F12" i="4" s="1"/>
  <c r="G9" i="2"/>
  <c r="F11" i="4" l="1"/>
  <c r="F13" i="4" s="1"/>
  <c r="F14" i="4" s="1"/>
  <c r="G10" i="2"/>
  <c r="F19" i="1"/>
  <c r="F20" i="1"/>
  <c r="F21" i="1"/>
  <c r="F22" i="1"/>
  <c r="F23" i="1"/>
  <c r="F24" i="1"/>
  <c r="F25" i="1"/>
  <c r="F26" i="1"/>
  <c r="F27" i="1"/>
  <c r="F18" i="1"/>
  <c r="F16" i="4" l="1"/>
  <c r="F16" i="3"/>
</calcChain>
</file>

<file path=xl/sharedStrings.xml><?xml version="1.0" encoding="utf-8"?>
<sst xmlns="http://schemas.openxmlformats.org/spreadsheetml/2006/main" count="38" uniqueCount="26">
  <si>
    <t>Customer</t>
  </si>
  <si>
    <t>Value</t>
  </si>
  <si>
    <t>Price</t>
  </si>
  <si>
    <t>Demand</t>
  </si>
  <si>
    <t>2% of market</t>
  </si>
  <si>
    <t>price</t>
  </si>
  <si>
    <t>demand</t>
  </si>
  <si>
    <t>revenue</t>
  </si>
  <si>
    <t>All customers &gt;=high charge high</t>
  </si>
  <si>
    <t>rest charge low</t>
  </si>
  <si>
    <t>high</t>
  </si>
  <si>
    <t>low</t>
  </si>
  <si>
    <t>highdemand</t>
  </si>
  <si>
    <t>lowdemand</t>
  </si>
  <si>
    <t>highrevenue</t>
  </si>
  <si>
    <t>Lowrevenue</t>
  </si>
  <si>
    <t>Totalrevenue</t>
  </si>
  <si>
    <t>total buying</t>
  </si>
  <si>
    <t>&lt;=</t>
  </si>
  <si>
    <t>capacity</t>
  </si>
  <si>
    <t>For</t>
  </si>
  <si>
    <t>all customers &gt;=high charge high</t>
  </si>
  <si>
    <t>price=563.33-50.37price</t>
  </si>
  <si>
    <t>p=563-50q</t>
  </si>
  <si>
    <t>q=(563-p)/50</t>
  </si>
  <si>
    <t>q=563-p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</si>
</sst>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2" borderId="0" xfId="0" applyNumberFormat="1" applyFill="1"/>
    <xf numFmtId="164" fontId="0" fillId="4" borderId="0" xfId="0" applyNumberFormat="1" applyFill="1"/>
    <xf numFmtId="164" fontId="1" fillId="2" borderId="0" xfId="0" applyNumberFormat="1" applyFont="1" applyFill="1"/>
    <xf numFmtId="164" fontId="1" fillId="3" borderId="0" xfId="0" applyNumberFormat="1" applyFont="1" applyFill="1"/>
    <xf numFmtId="164" fontId="1" fillId="0" borderId="0" xfId="0" applyNumberFormat="1" applyFont="1"/>
    <xf numFmtId="164" fontId="1" fillId="4" borderId="0" xfId="0" applyNumberFormat="1" applyFont="1" applyFill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'demand curve'!$G$17</c:f>
              <c:strCache>
                <c:ptCount val="1"/>
                <c:pt idx="0">
                  <c:v>Price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'demand curve'!$F$18:$F$27</c:f>
              <c:numCache>
                <c:formatCode>General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2</c:v>
                </c:pt>
              </c:numCache>
            </c:numRef>
          </c:xVal>
          <c:yVal>
            <c:numRef>
              <c:f>'demand curve'!$G$18:$G$27</c:f>
              <c:numCache>
                <c:formatCode>General</c:formatCode>
                <c:ptCount val="10"/>
                <c:pt idx="0">
                  <c:v>320</c:v>
                </c:pt>
                <c:pt idx="1">
                  <c:v>153</c:v>
                </c:pt>
                <c:pt idx="2">
                  <c:v>537</c:v>
                </c:pt>
                <c:pt idx="3">
                  <c:v>370</c:v>
                </c:pt>
                <c:pt idx="4">
                  <c:v>352</c:v>
                </c:pt>
                <c:pt idx="5">
                  <c:v>287</c:v>
                </c:pt>
                <c:pt idx="6">
                  <c:v>51</c:v>
                </c:pt>
                <c:pt idx="7">
                  <c:v>112</c:v>
                </c:pt>
                <c:pt idx="8">
                  <c:v>222</c:v>
                </c:pt>
                <c:pt idx="9">
                  <c:v>459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84271728"/>
        <c:axId val="-1684279344"/>
      </c:scatterChart>
      <c:valAx>
        <c:axId val="-1684271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684279344"/>
        <c:crosses val="autoZero"/>
        <c:crossBetween val="midCat"/>
      </c:valAx>
      <c:valAx>
        <c:axId val="-1684279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6842717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8</xdr:row>
      <xdr:rowOff>52387</xdr:rowOff>
    </xdr:from>
    <xdr:to>
      <xdr:col>16</xdr:col>
      <xdr:colOff>57150</xdr:colOff>
      <xdr:row>22</xdr:row>
      <xdr:rowOff>128587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M29"/>
  <sheetViews>
    <sheetView topLeftCell="A12" workbookViewId="0">
      <selection activeCell="K30" sqref="K30"/>
    </sheetView>
  </sheetViews>
  <sheetFormatPr defaultRowHeight="14.4" x14ac:dyDescent="0.3"/>
  <sheetData>
    <row r="3" spans="4:6" x14ac:dyDescent="0.3">
      <c r="F3" t="s">
        <v>4</v>
      </c>
    </row>
    <row r="4" spans="4:6" x14ac:dyDescent="0.3">
      <c r="D4" t="s">
        <v>0</v>
      </c>
      <c r="E4" t="s">
        <v>1</v>
      </c>
    </row>
    <row r="5" spans="4:6" x14ac:dyDescent="0.3">
      <c r="D5">
        <v>1</v>
      </c>
      <c r="E5">
        <v>320</v>
      </c>
    </row>
    <row r="6" spans="4:6" x14ac:dyDescent="0.3">
      <c r="D6">
        <v>2</v>
      </c>
      <c r="E6">
        <v>153</v>
      </c>
    </row>
    <row r="7" spans="4:6" x14ac:dyDescent="0.3">
      <c r="D7">
        <v>3</v>
      </c>
      <c r="E7">
        <v>537</v>
      </c>
    </row>
    <row r="8" spans="4:6" x14ac:dyDescent="0.3">
      <c r="D8">
        <v>4</v>
      </c>
      <c r="E8">
        <v>370</v>
      </c>
    </row>
    <row r="9" spans="4:6" x14ac:dyDescent="0.3">
      <c r="D9">
        <v>5</v>
      </c>
      <c r="E9">
        <v>352</v>
      </c>
    </row>
    <row r="10" spans="4:6" x14ac:dyDescent="0.3">
      <c r="D10">
        <v>6</v>
      </c>
      <c r="E10">
        <v>287</v>
      </c>
    </row>
    <row r="11" spans="4:6" x14ac:dyDescent="0.3">
      <c r="D11">
        <v>7</v>
      </c>
      <c r="E11">
        <v>51</v>
      </c>
    </row>
    <row r="12" spans="4:6" x14ac:dyDescent="0.3">
      <c r="D12">
        <v>8</v>
      </c>
      <c r="E12">
        <v>112</v>
      </c>
    </row>
    <row r="13" spans="4:6" x14ac:dyDescent="0.3">
      <c r="D13">
        <v>9</v>
      </c>
      <c r="E13">
        <v>222</v>
      </c>
    </row>
    <row r="14" spans="4:6" x14ac:dyDescent="0.3">
      <c r="D14">
        <v>10</v>
      </c>
      <c r="E14">
        <v>459</v>
      </c>
    </row>
    <row r="17" spans="5:13" x14ac:dyDescent="0.3">
      <c r="E17" t="s">
        <v>2</v>
      </c>
      <c r="F17" t="s">
        <v>3</v>
      </c>
      <c r="G17" t="s">
        <v>2</v>
      </c>
    </row>
    <row r="18" spans="5:13" x14ac:dyDescent="0.3">
      <c r="E18">
        <v>320</v>
      </c>
      <c r="F18">
        <f>COUNTIF($E$5:$E$14,"&gt;="&amp;E18)</f>
        <v>5</v>
      </c>
      <c r="G18">
        <v>320</v>
      </c>
    </row>
    <row r="19" spans="5:13" x14ac:dyDescent="0.3">
      <c r="E19">
        <v>153</v>
      </c>
      <c r="F19">
        <f t="shared" ref="F19:F27" si="0">COUNTIF($E$5:$E$14,"&gt;="&amp;E19)</f>
        <v>8</v>
      </c>
      <c r="G19">
        <v>153</v>
      </c>
    </row>
    <row r="20" spans="5:13" x14ac:dyDescent="0.3">
      <c r="E20">
        <v>537</v>
      </c>
      <c r="F20">
        <f t="shared" si="0"/>
        <v>1</v>
      </c>
      <c r="G20">
        <v>537</v>
      </c>
    </row>
    <row r="21" spans="5:13" x14ac:dyDescent="0.3">
      <c r="E21">
        <v>370</v>
      </c>
      <c r="F21">
        <f t="shared" si="0"/>
        <v>3</v>
      </c>
      <c r="G21">
        <v>370</v>
      </c>
    </row>
    <row r="22" spans="5:13" x14ac:dyDescent="0.3">
      <c r="E22">
        <v>352</v>
      </c>
      <c r="F22">
        <f t="shared" si="0"/>
        <v>4</v>
      </c>
      <c r="G22">
        <v>352</v>
      </c>
    </row>
    <row r="23" spans="5:13" x14ac:dyDescent="0.3">
      <c r="E23">
        <v>287</v>
      </c>
      <c r="F23">
        <f t="shared" si="0"/>
        <v>6</v>
      </c>
      <c r="G23">
        <v>287</v>
      </c>
    </row>
    <row r="24" spans="5:13" x14ac:dyDescent="0.3">
      <c r="E24">
        <v>51</v>
      </c>
      <c r="F24">
        <f t="shared" si="0"/>
        <v>10</v>
      </c>
      <c r="G24">
        <v>51</v>
      </c>
      <c r="K24" s="1"/>
      <c r="L24" s="1"/>
      <c r="M24" s="1"/>
    </row>
    <row r="25" spans="5:13" x14ac:dyDescent="0.3">
      <c r="E25">
        <v>112</v>
      </c>
      <c r="F25">
        <f t="shared" si="0"/>
        <v>9</v>
      </c>
      <c r="G25">
        <v>112</v>
      </c>
      <c r="K25" s="1" t="s">
        <v>22</v>
      </c>
      <c r="L25" s="1"/>
      <c r="M25" s="1"/>
    </row>
    <row r="26" spans="5:13" x14ac:dyDescent="0.3">
      <c r="E26">
        <v>222</v>
      </c>
      <c r="F26">
        <f t="shared" si="0"/>
        <v>7</v>
      </c>
      <c r="G26">
        <v>222</v>
      </c>
      <c r="K26" t="s">
        <v>23</v>
      </c>
    </row>
    <row r="27" spans="5:13" x14ac:dyDescent="0.3">
      <c r="E27">
        <v>459</v>
      </c>
      <c r="F27">
        <f t="shared" si="0"/>
        <v>2</v>
      </c>
      <c r="G27">
        <v>459</v>
      </c>
    </row>
    <row r="28" spans="5:13" x14ac:dyDescent="0.3">
      <c r="K28" t="s">
        <v>24</v>
      </c>
    </row>
    <row r="29" spans="5:13" x14ac:dyDescent="0.3">
      <c r="K29" t="s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H10"/>
  <sheetViews>
    <sheetView workbookViewId="0">
      <selection activeCell="G10" sqref="G10"/>
    </sheetView>
  </sheetViews>
  <sheetFormatPr defaultRowHeight="14.4" x14ac:dyDescent="0.3"/>
  <cols>
    <col min="7" max="7" width="10.109375" bestFit="1" customWidth="1"/>
  </cols>
  <sheetData>
    <row r="3" spans="5:8" x14ac:dyDescent="0.3">
      <c r="E3" s="1"/>
      <c r="F3" s="1"/>
      <c r="G3" s="1"/>
      <c r="H3" s="1"/>
    </row>
    <row r="4" spans="5:8" x14ac:dyDescent="0.3">
      <c r="E4" s="1"/>
      <c r="F4" s="1"/>
      <c r="G4" s="1"/>
      <c r="H4" s="1"/>
    </row>
    <row r="5" spans="5:8" x14ac:dyDescent="0.3">
      <c r="E5" s="1"/>
      <c r="F5" s="1" t="s">
        <v>25</v>
      </c>
      <c r="G5" s="1"/>
      <c r="H5" s="1"/>
    </row>
    <row r="6" spans="5:8" x14ac:dyDescent="0.3">
      <c r="E6" s="1"/>
      <c r="F6" s="1"/>
      <c r="G6" s="1"/>
      <c r="H6" s="1"/>
    </row>
    <row r="7" spans="5:8" x14ac:dyDescent="0.3">
      <c r="E7" s="1"/>
      <c r="F7" s="1"/>
      <c r="G7" s="1"/>
      <c r="H7" s="1"/>
    </row>
    <row r="8" spans="5:8" x14ac:dyDescent="0.3">
      <c r="E8" s="1"/>
      <c r="F8" s="1" t="s">
        <v>5</v>
      </c>
      <c r="G8" s="5">
        <v>200</v>
      </c>
      <c r="H8" s="1"/>
    </row>
    <row r="9" spans="5:8" x14ac:dyDescent="0.3">
      <c r="E9" s="1"/>
      <c r="F9" s="1" t="s">
        <v>6</v>
      </c>
      <c r="G9" s="1" t="e">
        <f>563-price</f>
        <v>#NAME?</v>
      </c>
      <c r="H9" s="1"/>
    </row>
    <row r="10" spans="5:8" x14ac:dyDescent="0.3">
      <c r="E10" s="1"/>
      <c r="F10" s="1" t="s">
        <v>7</v>
      </c>
      <c r="G10" s="6" t="e">
        <f>price*demand</f>
        <v>#NAME?</v>
      </c>
      <c r="H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H16"/>
  <sheetViews>
    <sheetView tabSelected="1" topLeftCell="E1" workbookViewId="0">
      <selection activeCell="I12" sqref="I12"/>
    </sheetView>
  </sheetViews>
  <sheetFormatPr defaultColWidth="8.88671875" defaultRowHeight="14.4" x14ac:dyDescent="0.3"/>
  <cols>
    <col min="1" max="4" width="8.88671875" style="1"/>
    <col min="5" max="5" width="18.33203125" style="1" customWidth="1"/>
    <col min="6" max="6" width="12" style="1" bestFit="1" customWidth="1"/>
    <col min="7" max="16384" width="8.88671875" style="1"/>
  </cols>
  <sheetData>
    <row r="6" spans="5:8" x14ac:dyDescent="0.3">
      <c r="E6" s="1" t="s">
        <v>25</v>
      </c>
      <c r="H6" s="1" t="s">
        <v>20</v>
      </c>
    </row>
    <row r="7" spans="5:8" x14ac:dyDescent="0.3">
      <c r="H7" s="1" t="s">
        <v>21</v>
      </c>
    </row>
    <row r="8" spans="5:8" x14ac:dyDescent="0.3">
      <c r="H8" s="1" t="s">
        <v>9</v>
      </c>
    </row>
    <row r="10" spans="5:8" x14ac:dyDescent="0.3">
      <c r="E10" s="1" t="s">
        <v>10</v>
      </c>
      <c r="F10" s="5">
        <v>300</v>
      </c>
    </row>
    <row r="11" spans="5:8" x14ac:dyDescent="0.3">
      <c r="E11" s="1" t="s">
        <v>11</v>
      </c>
      <c r="F11" s="5">
        <v>200</v>
      </c>
    </row>
    <row r="12" spans="5:8" x14ac:dyDescent="0.3">
      <c r="E12" s="1" t="s">
        <v>12</v>
      </c>
      <c r="F12" s="10">
        <f>563-F10</f>
        <v>263</v>
      </c>
    </row>
    <row r="13" spans="5:8" x14ac:dyDescent="0.3">
      <c r="E13" s="1" t="s">
        <v>13</v>
      </c>
      <c r="F13" s="10">
        <f>(563-F11)-F12</f>
        <v>100</v>
      </c>
    </row>
    <row r="14" spans="5:8" x14ac:dyDescent="0.3">
      <c r="E14" s="1" t="s">
        <v>14</v>
      </c>
      <c r="F14" s="7">
        <f>F10*F12</f>
        <v>78900</v>
      </c>
    </row>
    <row r="15" spans="5:8" x14ac:dyDescent="0.3">
      <c r="E15" s="1" t="s">
        <v>15</v>
      </c>
      <c r="F15" s="7">
        <f>F11*F13</f>
        <v>20000</v>
      </c>
    </row>
    <row r="16" spans="5:8" x14ac:dyDescent="0.3">
      <c r="E16" s="1" t="s">
        <v>16</v>
      </c>
      <c r="F16" s="8">
        <f>SUM(F14:F15)</f>
        <v>98900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H16"/>
  <sheetViews>
    <sheetView workbookViewId="0">
      <selection activeCell="E20" sqref="E20"/>
    </sheetView>
  </sheetViews>
  <sheetFormatPr defaultRowHeight="14.4" x14ac:dyDescent="0.3"/>
  <cols>
    <col min="5" max="5" width="18.33203125" customWidth="1"/>
    <col min="6" max="6" width="11.6640625" bestFit="1" customWidth="1"/>
  </cols>
  <sheetData>
    <row r="4" spans="5:8" x14ac:dyDescent="0.3">
      <c r="E4" s="1" t="s">
        <v>25</v>
      </c>
    </row>
    <row r="5" spans="5:8" x14ac:dyDescent="0.3">
      <c r="H5" t="s">
        <v>8</v>
      </c>
    </row>
    <row r="6" spans="5:8" x14ac:dyDescent="0.3">
      <c r="H6" t="s">
        <v>9</v>
      </c>
    </row>
    <row r="8" spans="5:8" x14ac:dyDescent="0.3">
      <c r="E8" t="s">
        <v>10</v>
      </c>
      <c r="F8" s="3">
        <v>400</v>
      </c>
    </row>
    <row r="9" spans="5:8" x14ac:dyDescent="0.3">
      <c r="E9" t="s">
        <v>11</v>
      </c>
      <c r="F9" s="3">
        <v>300</v>
      </c>
    </row>
    <row r="10" spans="5:8" x14ac:dyDescent="0.3">
      <c r="E10" t="s">
        <v>12</v>
      </c>
      <c r="F10" s="9">
        <f>563-F8</f>
        <v>163</v>
      </c>
    </row>
    <row r="11" spans="5:8" x14ac:dyDescent="0.3">
      <c r="E11" t="s">
        <v>13</v>
      </c>
      <c r="F11" s="9">
        <f>(563-F9)-F10</f>
        <v>100</v>
      </c>
    </row>
    <row r="12" spans="5:8" x14ac:dyDescent="0.3">
      <c r="E12" t="s">
        <v>14</v>
      </c>
      <c r="F12" s="2">
        <f>F8*F10</f>
        <v>65200</v>
      </c>
    </row>
    <row r="13" spans="5:8" x14ac:dyDescent="0.3">
      <c r="E13" t="s">
        <v>15</v>
      </c>
      <c r="F13" s="2">
        <f>F9*F11</f>
        <v>30000</v>
      </c>
    </row>
    <row r="14" spans="5:8" x14ac:dyDescent="0.3">
      <c r="E14" t="s">
        <v>16</v>
      </c>
      <c r="F14" s="4">
        <f>SUM(F12:F13)</f>
        <v>95200</v>
      </c>
    </row>
    <row r="15" spans="5:8" x14ac:dyDescent="0.3">
      <c r="H15" t="s">
        <v>19</v>
      </c>
    </row>
    <row r="16" spans="5:8" x14ac:dyDescent="0.3">
      <c r="E16" t="s">
        <v>17</v>
      </c>
      <c r="F16" s="9">
        <f>F10+F11</f>
        <v>263</v>
      </c>
      <c r="G16" t="s">
        <v>18</v>
      </c>
      <c r="H1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 curve</vt:lpstr>
      <vt:lpstr>single price</vt:lpstr>
      <vt:lpstr>Segmentation</vt:lpstr>
      <vt:lpstr>Segmentation with capacity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Winston, Wayne L.</dc:creator>
  <cp:lastModifiedBy>swagato</cp:lastModifiedBy>
  <dcterms:created xsi:type="dcterms:W3CDTF">2012-05-27T15:07:12Z</dcterms:created>
  <dcterms:modified xsi:type="dcterms:W3CDTF">2019-11-27T07:16:30Z</dcterms:modified>
</cp:coreProperties>
</file>