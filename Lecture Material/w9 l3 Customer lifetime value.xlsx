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 activeTab="2"/>
  </bookViews>
  <sheets>
    <sheet name="Acquisition" sheetId="1" r:id="rId1"/>
    <sheet name="Small Customers" sheetId="2" r:id="rId2"/>
    <sheet name="large customers" sheetId="3" r:id="rId3"/>
    <sheet name="lifetime value for resort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3" l="1"/>
  <c r="J3" i="3" s="1"/>
  <c r="J2" i="3"/>
  <c r="H11" i="3"/>
  <c r="H10" i="3"/>
  <c r="H9" i="3"/>
  <c r="H8" i="3"/>
  <c r="H7" i="3"/>
  <c r="H6" i="3"/>
  <c r="H5" i="3"/>
  <c r="H4" i="3"/>
  <c r="H3" i="3"/>
  <c r="H2" i="3"/>
  <c r="G3" i="3"/>
  <c r="G4" i="3"/>
  <c r="G5" i="3"/>
  <c r="G6" i="3"/>
  <c r="G7" i="3"/>
  <c r="G8" i="3"/>
  <c r="G9" i="3"/>
  <c r="G10" i="3"/>
  <c r="G11" i="3"/>
  <c r="G2" i="3"/>
  <c r="D3" i="3"/>
  <c r="D4" i="3"/>
  <c r="D5" i="3"/>
  <c r="D6" i="3"/>
  <c r="D7" i="3"/>
  <c r="D8" i="3"/>
  <c r="D9" i="3"/>
  <c r="D10" i="3"/>
  <c r="D11" i="3"/>
  <c r="D2" i="3"/>
  <c r="J3" i="2"/>
  <c r="J4" i="2"/>
  <c r="J5" i="2"/>
  <c r="J6" i="2"/>
  <c r="J7" i="2"/>
  <c r="J8" i="2"/>
  <c r="J9" i="2"/>
  <c r="J10" i="2"/>
  <c r="J11" i="2"/>
  <c r="J2" i="2"/>
  <c r="I4" i="2"/>
  <c r="I5" i="2"/>
  <c r="I6" i="2" s="1"/>
  <c r="I7" i="2" s="1"/>
  <c r="I8" i="2" s="1"/>
  <c r="I9" i="2" s="1"/>
  <c r="I10" i="2" s="1"/>
  <c r="I11" i="2" s="1"/>
  <c r="I3" i="2"/>
  <c r="H3" i="2"/>
  <c r="H2" i="2"/>
  <c r="H4" i="2"/>
  <c r="H5" i="2"/>
  <c r="H6" i="2"/>
  <c r="H7" i="2"/>
  <c r="H8" i="2"/>
  <c r="H9" i="2"/>
  <c r="H10" i="2"/>
  <c r="H11" i="2"/>
  <c r="G3" i="2"/>
  <c r="G4" i="2"/>
  <c r="G5" i="2"/>
  <c r="G6" i="2"/>
  <c r="G7" i="2"/>
  <c r="G8" i="2"/>
  <c r="G9" i="2"/>
  <c r="G10" i="2"/>
  <c r="G11" i="2"/>
  <c r="G2" i="2"/>
  <c r="D7" i="2"/>
  <c r="D8" i="2"/>
  <c r="D9" i="2"/>
  <c r="D10" i="2"/>
  <c r="D11" i="2"/>
  <c r="D11" i="1"/>
  <c r="D12" i="1"/>
  <c r="D13" i="1" s="1"/>
  <c r="D14" i="1"/>
  <c r="C16" i="1"/>
  <c r="C14" i="1"/>
  <c r="C13" i="1"/>
  <c r="C12" i="1"/>
  <c r="C11" i="1"/>
  <c r="I4" i="3" l="1"/>
  <c r="D16" i="1"/>
  <c r="N4" i="3"/>
  <c r="N3" i="3"/>
  <c r="N3" i="2"/>
  <c r="N5" i="2"/>
  <c r="N4" i="2"/>
  <c r="D3" i="2"/>
  <c r="D4" i="2"/>
  <c r="D5" i="2"/>
  <c r="D6" i="2"/>
  <c r="D2" i="2"/>
  <c r="J4" i="3" l="1"/>
  <c r="I5" i="3"/>
  <c r="N6" i="2"/>
  <c r="N7" i="2"/>
  <c r="J5" i="3" l="1"/>
  <c r="I6" i="3"/>
  <c r="J6" i="3" l="1"/>
  <c r="I7" i="3"/>
  <c r="J7" i="3" l="1"/>
  <c r="I8" i="3"/>
  <c r="J8" i="3" l="1"/>
  <c r="I9" i="3"/>
  <c r="J9" i="3" l="1"/>
  <c r="I10" i="3"/>
  <c r="J10" i="3" l="1"/>
  <c r="I11" i="3"/>
  <c r="J11" i="3" s="1"/>
  <c r="N5" i="3" s="1"/>
  <c r="N6" i="3" s="1"/>
  <c r="N7" i="3" s="1"/>
</calcChain>
</file>

<file path=xl/sharedStrings.xml><?xml version="1.0" encoding="utf-8"?>
<sst xmlns="http://schemas.openxmlformats.org/spreadsheetml/2006/main" count="76" uniqueCount="58">
  <si>
    <t>Starting Situation</t>
  </si>
  <si>
    <t>Number of sales visits per prospect</t>
  </si>
  <si>
    <t>Number of prospects approached</t>
  </si>
  <si>
    <t>Financial Results</t>
  </si>
  <si>
    <t>Number of customers acquired</t>
  </si>
  <si>
    <t>Small Companies (&lt;$3000 per year)</t>
  </si>
  <si>
    <t>Large companies ($25000-$100000 per year)</t>
  </si>
  <si>
    <t>Buford Electronics (a company that sales $350million electronic products in USA)</t>
  </si>
  <si>
    <t>Conversion Ratio (%)</t>
  </si>
  <si>
    <t>Costs per sales visit ($)</t>
  </si>
  <si>
    <t>Turnover per customer during first year ($)</t>
  </si>
  <si>
    <t>Margin on sales per customer - first year ($)</t>
  </si>
  <si>
    <t>Net contribution newly acquired customer</t>
  </si>
  <si>
    <t>Costs to acquire a customer ($)</t>
  </si>
  <si>
    <t>Sales expenses per prospect ($)</t>
  </si>
  <si>
    <t>Net contribution from the acquired customer ($)</t>
  </si>
  <si>
    <t>Initial investment in expansion of customer database ($)</t>
  </si>
  <si>
    <t>Year</t>
  </si>
  <si>
    <t>Sales ($)</t>
  </si>
  <si>
    <t>Gross Margin (%)</t>
  </si>
  <si>
    <t>Margin ($)</t>
  </si>
  <si>
    <t>Marketing and Service Expenses ($)</t>
  </si>
  <si>
    <t>Retention Percentage (%)</t>
  </si>
  <si>
    <t>Customer value contribution per account ($)</t>
  </si>
  <si>
    <t>Discounted value Contribution per account</t>
  </si>
  <si>
    <t>Number of Accounts in a Year</t>
  </si>
  <si>
    <t>Yearly discounted customer value contribution</t>
  </si>
  <si>
    <t>Cost of Money (%)</t>
  </si>
  <si>
    <t>Number of customer Acquired</t>
  </si>
  <si>
    <t>CV first year</t>
  </si>
  <si>
    <t>CV for rent of 9 years</t>
  </si>
  <si>
    <t>Total Segment CV</t>
  </si>
  <si>
    <t>Average Customer Value</t>
  </si>
  <si>
    <t>Year0</t>
  </si>
  <si>
    <t>Year1</t>
  </si>
  <si>
    <t>Year2</t>
  </si>
  <si>
    <t>Year3</t>
  </si>
  <si>
    <t>Year4</t>
  </si>
  <si>
    <t>Year5</t>
  </si>
  <si>
    <t>Revenue</t>
  </si>
  <si>
    <t>Costs</t>
  </si>
  <si>
    <t>CLV</t>
  </si>
  <si>
    <t>Profits</t>
  </si>
  <si>
    <t>Profit from increased purchase of rooms</t>
  </si>
  <si>
    <t>Profit from other services</t>
  </si>
  <si>
    <t>Profit from reduced overheads</t>
  </si>
  <si>
    <t>Profit from referrals</t>
  </si>
  <si>
    <t>Total Profit</t>
  </si>
  <si>
    <t>Present Value</t>
  </si>
  <si>
    <t>Net Present Value</t>
  </si>
  <si>
    <t>Assumptions</t>
  </si>
  <si>
    <t>Revenue inceases by 10% per year</t>
  </si>
  <si>
    <t>Costs increase by 8% per year, 2000 rs is one time acquisition cost</t>
  </si>
  <si>
    <t>Overheads reduces 10% of the revenue from Year 2</t>
  </si>
  <si>
    <t>Increases 20% per year</t>
  </si>
  <si>
    <t>Increases 10% per year</t>
  </si>
  <si>
    <t>Discounting factor 15%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</si>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</sst>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opLeftCell="B2" zoomScale="130" zoomScaleNormal="130" workbookViewId="0">
      <selection activeCell="C14" sqref="C14"/>
    </sheetView>
  </sheetViews>
  <sheetFormatPr defaultRowHeight="15" x14ac:dyDescent="0.25"/>
  <cols>
    <col min="2" max="2" width="52.140625" bestFit="1" customWidth="1"/>
    <col min="3" max="3" width="22.28515625" customWidth="1"/>
    <col min="4" max="4" width="25.5703125" customWidth="1"/>
  </cols>
  <sheetData>
    <row r="1" spans="1:4" x14ac:dyDescent="0.25">
      <c r="A1" s="2" t="s">
        <v>7</v>
      </c>
    </row>
    <row r="2" spans="1:4" ht="30" x14ac:dyDescent="0.25">
      <c r="C2" s="3" t="s">
        <v>5</v>
      </c>
      <c r="D2" s="3" t="s">
        <v>6</v>
      </c>
    </row>
    <row r="3" spans="1:4" x14ac:dyDescent="0.25">
      <c r="A3" t="s">
        <v>0</v>
      </c>
      <c r="C3" s="4"/>
      <c r="D3" s="4"/>
    </row>
    <row r="4" spans="1:4" x14ac:dyDescent="0.25">
      <c r="B4" t="s">
        <v>8</v>
      </c>
      <c r="C4" s="4">
        <v>15</v>
      </c>
      <c r="D4" s="4">
        <v>5</v>
      </c>
    </row>
    <row r="5" spans="1:4" x14ac:dyDescent="0.25">
      <c r="B5" t="s">
        <v>9</v>
      </c>
      <c r="C5" s="4">
        <v>20</v>
      </c>
      <c r="D5" s="4">
        <v>100</v>
      </c>
    </row>
    <row r="6" spans="1:4" x14ac:dyDescent="0.25">
      <c r="B6" t="s">
        <v>1</v>
      </c>
      <c r="C6" s="4">
        <v>2</v>
      </c>
      <c r="D6" s="4">
        <v>9</v>
      </c>
    </row>
    <row r="7" spans="1:4" x14ac:dyDescent="0.25">
      <c r="B7" t="s">
        <v>10</v>
      </c>
      <c r="C7" s="4">
        <v>1200</v>
      </c>
      <c r="D7" s="4">
        <v>44000</v>
      </c>
    </row>
    <row r="8" spans="1:4" x14ac:dyDescent="0.25">
      <c r="B8" t="s">
        <v>11</v>
      </c>
      <c r="C8" s="4">
        <v>360</v>
      </c>
      <c r="D8" s="4">
        <v>8500</v>
      </c>
    </row>
    <row r="9" spans="1:4" x14ac:dyDescent="0.25">
      <c r="B9" t="s">
        <v>2</v>
      </c>
      <c r="C9" s="4">
        <v>40000</v>
      </c>
      <c r="D9" s="4">
        <v>8000</v>
      </c>
    </row>
    <row r="10" spans="1:4" x14ac:dyDescent="0.25">
      <c r="A10" t="s">
        <v>3</v>
      </c>
      <c r="C10" s="4"/>
      <c r="D10" s="4"/>
    </row>
    <row r="11" spans="1:4" x14ac:dyDescent="0.25">
      <c r="B11" t="s">
        <v>14</v>
      </c>
      <c r="C11" s="5">
        <f>C5*C6</f>
        <v>40</v>
      </c>
      <c r="D11" s="5">
        <f>D5*D6</f>
        <v>900</v>
      </c>
    </row>
    <row r="12" spans="1:4" x14ac:dyDescent="0.25">
      <c r="B12" t="s">
        <v>13</v>
      </c>
      <c r="C12" s="5">
        <f>C11*100/C4</f>
        <v>266.66666666666669</v>
      </c>
      <c r="D12" s="5">
        <f>D11*100/D4</f>
        <v>18000</v>
      </c>
    </row>
    <row r="13" spans="1:4" x14ac:dyDescent="0.25">
      <c r="B13" t="s">
        <v>15</v>
      </c>
      <c r="C13" s="5">
        <f>C8-C12</f>
        <v>93.333333333333314</v>
      </c>
      <c r="D13" s="5">
        <f>D8-D12</f>
        <v>-9500</v>
      </c>
    </row>
    <row r="14" spans="1:4" x14ac:dyDescent="0.25">
      <c r="B14" t="s">
        <v>4</v>
      </c>
      <c r="C14" s="5">
        <f>C9*C4/100</f>
        <v>6000</v>
      </c>
      <c r="D14" s="5">
        <f>D9*D4/100</f>
        <v>400</v>
      </c>
    </row>
    <row r="15" spans="1:4" x14ac:dyDescent="0.25">
      <c r="B15" t="s">
        <v>16</v>
      </c>
      <c r="C15" s="5" t="s">
        <v>57</v>
      </c>
      <c r="D15" s="5" t="s">
        <v>57</v>
      </c>
    </row>
    <row r="16" spans="1:4" x14ac:dyDescent="0.25">
      <c r="B16" t="s">
        <v>12</v>
      </c>
      <c r="C16" s="5">
        <f>C14*C13</f>
        <v>559999.99999999988</v>
      </c>
      <c r="D16" s="5">
        <f>D14*D13</f>
        <v>-3800000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workbookViewId="0">
      <selection activeCell="I2" sqref="I2:J11"/>
    </sheetView>
  </sheetViews>
  <sheetFormatPr defaultRowHeight="15" x14ac:dyDescent="0.25"/>
  <cols>
    <col min="1" max="1" width="8.7109375" customWidth="1"/>
    <col min="2" max="7" width="11.7109375" customWidth="1"/>
    <col min="8" max="8" width="11.140625" customWidth="1"/>
    <col min="10" max="10" width="12.42578125" customWidth="1"/>
    <col min="13" max="13" width="28.28515625" bestFit="1" customWidth="1"/>
    <col min="14" max="14" width="9" customWidth="1"/>
  </cols>
  <sheetData>
    <row r="1" spans="1:14" s="1" customFormat="1" ht="75" x14ac:dyDescent="0.25">
      <c r="A1" s="7" t="s">
        <v>17</v>
      </c>
      <c r="B1" s="7" t="s">
        <v>18</v>
      </c>
      <c r="C1" s="7" t="s">
        <v>19</v>
      </c>
      <c r="D1" s="7" t="s">
        <v>20</v>
      </c>
      <c r="E1" s="7" t="s">
        <v>21</v>
      </c>
      <c r="F1" s="7" t="s">
        <v>22</v>
      </c>
      <c r="G1" s="7" t="s">
        <v>23</v>
      </c>
      <c r="H1" s="7" t="s">
        <v>24</v>
      </c>
      <c r="I1" s="7" t="s">
        <v>25</v>
      </c>
      <c r="J1" s="7" t="s">
        <v>26</v>
      </c>
    </row>
    <row r="2" spans="1:14" x14ac:dyDescent="0.25">
      <c r="A2">
        <v>1998</v>
      </c>
      <c r="B2">
        <v>1200</v>
      </c>
      <c r="C2">
        <v>30</v>
      </c>
      <c r="D2">
        <f>B2*C2/100</f>
        <v>360</v>
      </c>
      <c r="E2">
        <v>267</v>
      </c>
      <c r="G2">
        <f>D2-E2</f>
        <v>93</v>
      </c>
      <c r="H2" s="6">
        <f>G2/1.1^(A2-1998)</f>
        <v>93</v>
      </c>
      <c r="I2">
        <v>6000</v>
      </c>
      <c r="J2" s="6">
        <f>H2*I2</f>
        <v>558000</v>
      </c>
      <c r="M2" t="s">
        <v>27</v>
      </c>
      <c r="N2" s="6">
        <v>10</v>
      </c>
    </row>
    <row r="3" spans="1:14" x14ac:dyDescent="0.25">
      <c r="A3">
        <v>1999</v>
      </c>
      <c r="B3">
        <v>1700</v>
      </c>
      <c r="C3">
        <v>35</v>
      </c>
      <c r="D3">
        <f t="shared" ref="D3:D11" si="0">B3*C3/100</f>
        <v>595</v>
      </c>
      <c r="E3">
        <v>75</v>
      </c>
      <c r="F3">
        <v>75</v>
      </c>
      <c r="G3">
        <f t="shared" ref="G3:G11" si="1">D3-E3</f>
        <v>520</v>
      </c>
      <c r="H3" s="6">
        <f>G3/1.1^(A3-1998)</f>
        <v>472.72727272727269</v>
      </c>
      <c r="I3" s="6">
        <f>I2*F3/100</f>
        <v>4500</v>
      </c>
      <c r="J3" s="6">
        <f t="shared" ref="J3:J11" si="2">H3*I3</f>
        <v>2127272.7272727271</v>
      </c>
      <c r="M3" t="s">
        <v>28</v>
      </c>
      <c r="N3" s="6">
        <f>I2</f>
        <v>6000</v>
      </c>
    </row>
    <row r="4" spans="1:14" x14ac:dyDescent="0.25">
      <c r="A4">
        <v>2000</v>
      </c>
      <c r="B4">
        <v>2300</v>
      </c>
      <c r="C4">
        <v>35</v>
      </c>
      <c r="D4">
        <f t="shared" si="0"/>
        <v>805</v>
      </c>
      <c r="E4">
        <v>75</v>
      </c>
      <c r="F4">
        <v>80</v>
      </c>
      <c r="G4">
        <f t="shared" si="1"/>
        <v>730</v>
      </c>
      <c r="H4" s="6">
        <f t="shared" ref="H3:H11" si="3">G4/1.1^(A4-1998)</f>
        <v>603.30578512396687</v>
      </c>
      <c r="I4" s="6">
        <f t="shared" ref="I4:I11" si="4">I3*F4/100</f>
        <v>3600</v>
      </c>
      <c r="J4" s="6">
        <f t="shared" si="2"/>
        <v>2171900.8264462808</v>
      </c>
      <c r="M4" t="s">
        <v>29</v>
      </c>
      <c r="N4" s="6">
        <f>J2</f>
        <v>558000</v>
      </c>
    </row>
    <row r="5" spans="1:14" x14ac:dyDescent="0.25">
      <c r="A5">
        <v>2001</v>
      </c>
      <c r="B5">
        <v>2500</v>
      </c>
      <c r="C5">
        <v>40</v>
      </c>
      <c r="D5">
        <f t="shared" si="0"/>
        <v>1000</v>
      </c>
      <c r="E5">
        <v>50</v>
      </c>
      <c r="F5">
        <v>85</v>
      </c>
      <c r="G5">
        <f t="shared" si="1"/>
        <v>950</v>
      </c>
      <c r="H5" s="6">
        <f t="shared" si="3"/>
        <v>713.74906085649866</v>
      </c>
      <c r="I5" s="6">
        <f t="shared" si="4"/>
        <v>3060</v>
      </c>
      <c r="J5" s="6">
        <f t="shared" si="2"/>
        <v>2184072.1262208857</v>
      </c>
      <c r="M5" t="s">
        <v>30</v>
      </c>
      <c r="N5" s="6">
        <f>SUM(J3:J11)</f>
        <v>12625534.686881237</v>
      </c>
    </row>
    <row r="6" spans="1:14" x14ac:dyDescent="0.25">
      <c r="A6">
        <v>2002</v>
      </c>
      <c r="B6">
        <v>2500</v>
      </c>
      <c r="C6">
        <v>40</v>
      </c>
      <c r="D6">
        <f t="shared" si="0"/>
        <v>1000</v>
      </c>
      <c r="E6">
        <v>50</v>
      </c>
      <c r="F6">
        <v>85</v>
      </c>
      <c r="G6">
        <f t="shared" si="1"/>
        <v>950</v>
      </c>
      <c r="H6" s="6">
        <f t="shared" si="3"/>
        <v>648.86278259681694</v>
      </c>
      <c r="I6" s="6">
        <f t="shared" si="4"/>
        <v>2601</v>
      </c>
      <c r="J6" s="6">
        <f t="shared" si="2"/>
        <v>1687692.0975343208</v>
      </c>
      <c r="M6" t="s">
        <v>31</v>
      </c>
      <c r="N6" s="6">
        <f>N5+N4</f>
        <v>13183534.686881237</v>
      </c>
    </row>
    <row r="7" spans="1:14" x14ac:dyDescent="0.25">
      <c r="A7">
        <v>2003</v>
      </c>
      <c r="B7">
        <v>2500</v>
      </c>
      <c r="C7">
        <v>40</v>
      </c>
      <c r="D7">
        <f t="shared" si="0"/>
        <v>1000</v>
      </c>
      <c r="E7">
        <v>40</v>
      </c>
      <c r="F7">
        <v>87</v>
      </c>
      <c r="G7">
        <f t="shared" si="1"/>
        <v>960</v>
      </c>
      <c r="H7" s="6">
        <f t="shared" si="3"/>
        <v>596.08447013678881</v>
      </c>
      <c r="I7" s="6">
        <f t="shared" si="4"/>
        <v>2262.87</v>
      </c>
      <c r="J7" s="6">
        <f t="shared" si="2"/>
        <v>1348861.6649384352</v>
      </c>
      <c r="M7" t="s">
        <v>32</v>
      </c>
      <c r="N7" s="6">
        <f>N6/N3</f>
        <v>2197.2557811468728</v>
      </c>
    </row>
    <row r="8" spans="1:14" x14ac:dyDescent="0.25">
      <c r="A8">
        <v>2004</v>
      </c>
      <c r="B8">
        <v>2500</v>
      </c>
      <c r="C8">
        <v>40</v>
      </c>
      <c r="D8">
        <f t="shared" si="0"/>
        <v>1000</v>
      </c>
      <c r="E8">
        <v>40</v>
      </c>
      <c r="F8">
        <v>87</v>
      </c>
      <c r="G8">
        <f t="shared" si="1"/>
        <v>960</v>
      </c>
      <c r="H8" s="6">
        <f t="shared" si="3"/>
        <v>541.89497285162611</v>
      </c>
      <c r="I8" s="6">
        <f t="shared" si="4"/>
        <v>1968.6968999999999</v>
      </c>
      <c r="J8" s="6">
        <f t="shared" si="2"/>
        <v>1066826.9531785804</v>
      </c>
    </row>
    <row r="9" spans="1:14" x14ac:dyDescent="0.25">
      <c r="A9">
        <v>2005</v>
      </c>
      <c r="B9">
        <v>2500</v>
      </c>
      <c r="C9">
        <v>40</v>
      </c>
      <c r="D9">
        <f t="shared" si="0"/>
        <v>1000</v>
      </c>
      <c r="E9">
        <v>40</v>
      </c>
      <c r="F9">
        <v>87</v>
      </c>
      <c r="G9">
        <f t="shared" si="1"/>
        <v>960</v>
      </c>
      <c r="H9" s="6">
        <f t="shared" si="3"/>
        <v>492.63179350147817</v>
      </c>
      <c r="I9" s="6">
        <f t="shared" si="4"/>
        <v>1712.7663029999999</v>
      </c>
      <c r="J9" s="6">
        <f t="shared" si="2"/>
        <v>843763.1356957861</v>
      </c>
    </row>
    <row r="10" spans="1:14" x14ac:dyDescent="0.25">
      <c r="A10">
        <v>2006</v>
      </c>
      <c r="B10">
        <v>2500</v>
      </c>
      <c r="C10">
        <v>40</v>
      </c>
      <c r="D10">
        <f t="shared" si="0"/>
        <v>1000</v>
      </c>
      <c r="E10">
        <v>40</v>
      </c>
      <c r="F10">
        <v>87</v>
      </c>
      <c r="G10">
        <f t="shared" si="1"/>
        <v>960</v>
      </c>
      <c r="H10" s="6">
        <f t="shared" si="3"/>
        <v>447.84708500134383</v>
      </c>
      <c r="I10" s="6">
        <f t="shared" si="4"/>
        <v>1490.1066836099999</v>
      </c>
      <c r="J10" s="6">
        <f t="shared" si="2"/>
        <v>667339.93459575821</v>
      </c>
    </row>
    <row r="11" spans="1:14" x14ac:dyDescent="0.25">
      <c r="A11">
        <v>2007</v>
      </c>
      <c r="B11">
        <v>2500</v>
      </c>
      <c r="C11">
        <v>40</v>
      </c>
      <c r="D11">
        <f t="shared" si="0"/>
        <v>1000</v>
      </c>
      <c r="E11">
        <v>40</v>
      </c>
      <c r="F11">
        <v>87</v>
      </c>
      <c r="G11">
        <f t="shared" si="1"/>
        <v>960</v>
      </c>
      <c r="H11" s="6">
        <f t="shared" si="3"/>
        <v>407.13371363758529</v>
      </c>
      <c r="I11" s="6">
        <f t="shared" si="4"/>
        <v>1296.3928147406998</v>
      </c>
      <c r="J11" s="6">
        <f t="shared" si="2"/>
        <v>527805.22099846322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tabSelected="1" topLeftCell="D1" workbookViewId="0">
      <selection activeCell="M13" sqref="M13"/>
    </sheetView>
  </sheetViews>
  <sheetFormatPr defaultRowHeight="15" x14ac:dyDescent="0.25"/>
  <cols>
    <col min="1" max="7" width="11.7109375" customWidth="1"/>
    <col min="9" max="9" width="9.5703125" bestFit="1" customWidth="1"/>
    <col min="10" max="10" width="10.28515625" bestFit="1" customWidth="1"/>
    <col min="13" max="13" width="28.28515625" bestFit="1" customWidth="1"/>
  </cols>
  <sheetData>
    <row r="1" spans="1:14" s="1" customFormat="1" ht="105" x14ac:dyDescent="0.2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7" t="s">
        <v>23</v>
      </c>
      <c r="H1" s="7" t="s">
        <v>24</v>
      </c>
      <c r="I1" s="7" t="s">
        <v>25</v>
      </c>
      <c r="J1" s="7" t="s">
        <v>26</v>
      </c>
    </row>
    <row r="2" spans="1:14" x14ac:dyDescent="0.25">
      <c r="A2">
        <v>1998</v>
      </c>
      <c r="B2">
        <v>44000</v>
      </c>
      <c r="C2">
        <v>19</v>
      </c>
      <c r="D2">
        <f>B2*C2/100</f>
        <v>8360</v>
      </c>
      <c r="E2">
        <v>18000</v>
      </c>
      <c r="G2">
        <f>D2-E2</f>
        <v>-9640</v>
      </c>
      <c r="H2" s="6">
        <f>G2/1.1^(A2-1998)</f>
        <v>-9640</v>
      </c>
      <c r="I2">
        <v>400</v>
      </c>
      <c r="J2" s="6">
        <f>H2*I2</f>
        <v>-3856000</v>
      </c>
      <c r="M2" t="s">
        <v>27</v>
      </c>
      <c r="N2" s="6">
        <v>20</v>
      </c>
    </row>
    <row r="3" spans="1:14" x14ac:dyDescent="0.25">
      <c r="A3">
        <v>1999</v>
      </c>
      <c r="B3">
        <v>52000</v>
      </c>
      <c r="C3">
        <v>24</v>
      </c>
      <c r="D3">
        <f t="shared" ref="D3:D11" si="0">B3*C3/100</f>
        <v>12480</v>
      </c>
      <c r="E3">
        <v>1000</v>
      </c>
      <c r="F3">
        <v>40</v>
      </c>
      <c r="G3">
        <f t="shared" ref="G3:G11" si="1">D3-E3</f>
        <v>11480</v>
      </c>
      <c r="H3" s="6">
        <f>G3/1.1^(A3-1998)</f>
        <v>10436.363636363636</v>
      </c>
      <c r="I3" s="6">
        <f>I2*F3/100</f>
        <v>160</v>
      </c>
      <c r="J3" s="6">
        <f t="shared" ref="J3:J11" si="2">H3*I3</f>
        <v>1669818.1818181816</v>
      </c>
      <c r="M3" t="s">
        <v>28</v>
      </c>
      <c r="N3" s="6">
        <f>I2</f>
        <v>400</v>
      </c>
    </row>
    <row r="4" spans="1:14" x14ac:dyDescent="0.25">
      <c r="A4">
        <v>2000</v>
      </c>
      <c r="B4">
        <v>70000</v>
      </c>
      <c r="C4">
        <v>26</v>
      </c>
      <c r="D4">
        <f t="shared" si="0"/>
        <v>18200</v>
      </c>
      <c r="E4">
        <v>1000</v>
      </c>
      <c r="F4">
        <v>55</v>
      </c>
      <c r="G4">
        <f t="shared" si="1"/>
        <v>17200</v>
      </c>
      <c r="H4" s="6">
        <f t="shared" ref="H4:H11" si="3">G4/1.1^(A4-1998)</f>
        <v>14214.87603305785</v>
      </c>
      <c r="I4" s="6">
        <f t="shared" ref="I4:I11" si="4">I3*F4/100</f>
        <v>88</v>
      </c>
      <c r="J4" s="6">
        <f t="shared" si="2"/>
        <v>1250909.0909090908</v>
      </c>
      <c r="M4" t="s">
        <v>29</v>
      </c>
      <c r="N4" s="6">
        <f>J2</f>
        <v>-3856000</v>
      </c>
    </row>
    <row r="5" spans="1:14" x14ac:dyDescent="0.25">
      <c r="A5">
        <v>2001</v>
      </c>
      <c r="B5">
        <v>85000</v>
      </c>
      <c r="C5">
        <v>27</v>
      </c>
      <c r="D5">
        <f t="shared" si="0"/>
        <v>22950</v>
      </c>
      <c r="E5">
        <v>400</v>
      </c>
      <c r="F5">
        <v>65</v>
      </c>
      <c r="G5">
        <f t="shared" si="1"/>
        <v>22550</v>
      </c>
      <c r="H5" s="6">
        <f t="shared" si="3"/>
        <v>16942.148760330572</v>
      </c>
      <c r="I5" s="6">
        <f t="shared" si="4"/>
        <v>57.2</v>
      </c>
      <c r="J5" s="6">
        <f t="shared" si="2"/>
        <v>969090.90909090883</v>
      </c>
      <c r="M5" t="s">
        <v>30</v>
      </c>
      <c r="N5" s="6">
        <f>SUM(J3:J11)</f>
        <v>5461507.1101159547</v>
      </c>
    </row>
    <row r="6" spans="1:14" x14ac:dyDescent="0.25">
      <c r="A6">
        <v>2002</v>
      </c>
      <c r="B6">
        <v>85000</v>
      </c>
      <c r="C6">
        <v>27</v>
      </c>
      <c r="D6">
        <f t="shared" si="0"/>
        <v>22950</v>
      </c>
      <c r="E6">
        <v>400</v>
      </c>
      <c r="F6">
        <v>65</v>
      </c>
      <c r="G6">
        <f t="shared" si="1"/>
        <v>22550</v>
      </c>
      <c r="H6" s="6">
        <f t="shared" si="3"/>
        <v>15401.953418482341</v>
      </c>
      <c r="I6" s="6">
        <f t="shared" si="4"/>
        <v>37.18</v>
      </c>
      <c r="J6" s="6">
        <f t="shared" si="2"/>
        <v>572644.62809917342</v>
      </c>
      <c r="M6" t="s">
        <v>31</v>
      </c>
      <c r="N6" s="6">
        <f>N5+N4</f>
        <v>1605507.1101159547</v>
      </c>
    </row>
    <row r="7" spans="1:14" x14ac:dyDescent="0.25">
      <c r="A7">
        <v>2003</v>
      </c>
      <c r="B7">
        <v>85000</v>
      </c>
      <c r="C7">
        <v>30</v>
      </c>
      <c r="D7">
        <f t="shared" si="0"/>
        <v>25500</v>
      </c>
      <c r="E7">
        <v>400</v>
      </c>
      <c r="F7">
        <v>70</v>
      </c>
      <c r="G7">
        <f t="shared" si="1"/>
        <v>25100</v>
      </c>
      <c r="H7" s="6">
        <f t="shared" si="3"/>
        <v>15585.12520878479</v>
      </c>
      <c r="I7" s="6">
        <f t="shared" si="4"/>
        <v>26.026</v>
      </c>
      <c r="J7" s="6">
        <f t="shared" si="2"/>
        <v>405618.46868383291</v>
      </c>
      <c r="M7" t="s">
        <v>32</v>
      </c>
      <c r="N7" s="6">
        <f>N6/N3</f>
        <v>4013.7677752898867</v>
      </c>
    </row>
    <row r="8" spans="1:14" x14ac:dyDescent="0.25">
      <c r="A8">
        <v>2004</v>
      </c>
      <c r="B8">
        <v>85000</v>
      </c>
      <c r="C8">
        <v>30</v>
      </c>
      <c r="D8">
        <f t="shared" si="0"/>
        <v>25500</v>
      </c>
      <c r="E8">
        <v>400</v>
      </c>
      <c r="F8">
        <v>70</v>
      </c>
      <c r="G8">
        <f t="shared" si="1"/>
        <v>25100</v>
      </c>
      <c r="H8" s="6">
        <f t="shared" si="3"/>
        <v>14168.295644349806</v>
      </c>
      <c r="I8" s="6">
        <f t="shared" si="4"/>
        <v>18.2182</v>
      </c>
      <c r="J8" s="6">
        <f t="shared" si="2"/>
        <v>258120.84370789363</v>
      </c>
    </row>
    <row r="9" spans="1:14" x14ac:dyDescent="0.25">
      <c r="A9">
        <v>2005</v>
      </c>
      <c r="B9">
        <v>85000</v>
      </c>
      <c r="C9">
        <v>30</v>
      </c>
      <c r="D9">
        <f t="shared" si="0"/>
        <v>25500</v>
      </c>
      <c r="E9">
        <v>400</v>
      </c>
      <c r="F9">
        <v>70</v>
      </c>
      <c r="G9">
        <f t="shared" si="1"/>
        <v>25100</v>
      </c>
      <c r="H9" s="6">
        <f t="shared" si="3"/>
        <v>12880.268767590731</v>
      </c>
      <c r="I9" s="6">
        <f t="shared" si="4"/>
        <v>12.752739999999999</v>
      </c>
      <c r="J9" s="6">
        <f t="shared" si="2"/>
        <v>164258.71872320501</v>
      </c>
    </row>
    <row r="10" spans="1:14" x14ac:dyDescent="0.25">
      <c r="A10">
        <v>2006</v>
      </c>
      <c r="B10">
        <v>85000</v>
      </c>
      <c r="C10">
        <v>30</v>
      </c>
      <c r="D10">
        <f t="shared" si="0"/>
        <v>25500</v>
      </c>
      <c r="E10">
        <v>400</v>
      </c>
      <c r="F10">
        <v>70</v>
      </c>
      <c r="G10">
        <f t="shared" si="1"/>
        <v>25100</v>
      </c>
      <c r="H10" s="6">
        <f t="shared" si="3"/>
        <v>11709.335243264302</v>
      </c>
      <c r="I10" s="6">
        <f t="shared" si="4"/>
        <v>8.9269179999999988</v>
      </c>
      <c r="J10" s="6">
        <f t="shared" si="2"/>
        <v>104528.27555113047</v>
      </c>
    </row>
    <row r="11" spans="1:14" x14ac:dyDescent="0.25">
      <c r="A11">
        <v>2007</v>
      </c>
      <c r="B11">
        <v>85000</v>
      </c>
      <c r="C11">
        <v>30</v>
      </c>
      <c r="D11">
        <f t="shared" si="0"/>
        <v>25500</v>
      </c>
      <c r="E11">
        <v>400</v>
      </c>
      <c r="F11">
        <v>70</v>
      </c>
      <c r="G11">
        <f t="shared" si="1"/>
        <v>25100</v>
      </c>
      <c r="H11" s="6">
        <f t="shared" si="3"/>
        <v>10644.850221149365</v>
      </c>
      <c r="I11" s="6">
        <f t="shared" si="4"/>
        <v>6.2488425999999997</v>
      </c>
      <c r="J11" s="6">
        <f t="shared" si="2"/>
        <v>66517.99353253757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workbookViewId="0">
      <selection activeCell="C13" sqref="C13"/>
    </sheetView>
  </sheetViews>
  <sheetFormatPr defaultRowHeight="15" x14ac:dyDescent="0.25"/>
  <cols>
    <col min="1" max="1" width="21.5703125" style="1" customWidth="1"/>
  </cols>
  <sheetData>
    <row r="1" spans="1:9" x14ac:dyDescent="0.25"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50</v>
      </c>
    </row>
    <row r="2" spans="1:9" x14ac:dyDescent="0.25">
      <c r="A2" s="1" t="s">
        <v>39</v>
      </c>
      <c r="D2">
        <v>12000</v>
      </c>
      <c r="I2" t="s">
        <v>51</v>
      </c>
    </row>
    <row r="3" spans="1:9" x14ac:dyDescent="0.25">
      <c r="A3" s="1" t="s">
        <v>40</v>
      </c>
      <c r="C3">
        <v>2000</v>
      </c>
      <c r="D3">
        <v>9600</v>
      </c>
      <c r="I3" t="s">
        <v>52</v>
      </c>
    </row>
    <row r="4" spans="1:9" x14ac:dyDescent="0.25">
      <c r="A4" s="1" t="s">
        <v>41</v>
      </c>
    </row>
    <row r="5" spans="1:9" x14ac:dyDescent="0.25">
      <c r="A5" s="1" t="s">
        <v>42</v>
      </c>
    </row>
    <row r="6" spans="1:9" ht="30" x14ac:dyDescent="0.25">
      <c r="A6" s="1" t="s">
        <v>43</v>
      </c>
      <c r="E6">
        <v>800</v>
      </c>
      <c r="I6" t="s">
        <v>54</v>
      </c>
    </row>
    <row r="7" spans="1:9" ht="30" x14ac:dyDescent="0.25">
      <c r="A7" s="1" t="s">
        <v>44</v>
      </c>
      <c r="E7">
        <v>1000</v>
      </c>
      <c r="I7" t="s">
        <v>54</v>
      </c>
    </row>
    <row r="8" spans="1:9" ht="30" x14ac:dyDescent="0.25">
      <c r="A8" s="1" t="s">
        <v>45</v>
      </c>
      <c r="I8" t="s">
        <v>53</v>
      </c>
    </row>
    <row r="9" spans="1:9" x14ac:dyDescent="0.25">
      <c r="A9" s="1" t="s">
        <v>46</v>
      </c>
      <c r="E9">
        <v>1980</v>
      </c>
      <c r="I9" t="s">
        <v>55</v>
      </c>
    </row>
    <row r="10" spans="1:9" x14ac:dyDescent="0.25">
      <c r="A10" s="1" t="s">
        <v>47</v>
      </c>
    </row>
    <row r="11" spans="1:9" x14ac:dyDescent="0.25">
      <c r="A11" s="1" t="s">
        <v>48</v>
      </c>
      <c r="I11" t="s">
        <v>56</v>
      </c>
    </row>
    <row r="12" spans="1:9" x14ac:dyDescent="0.25">
      <c r="A12" s="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Acquisition</vt:lpstr>
      <vt:lpstr>Small Customers</vt:lpstr>
      <vt:lpstr>large customers</vt:lpstr>
      <vt:lpstr>lifetime value for resort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2019-05-14T05:40:16Z</dcterms:modified>
</cp:coreProperties>
</file>