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gsom29\Dropbox\iitkgp faculty\Courses\marketing analytics nptel\Sessions\Week5\Session 6\"/>
    </mc:Choice>
  </mc:AlternateContent>
  <bookViews>
    <workbookView xWindow="240" yWindow="60" windowWidth="8460" windowHeight="6036"/>
  </bookViews>
  <sheets>
    <sheet name="sales" sheetId="1" r:id="rId1"/>
  </sheets>
  <definedNames>
    <definedName name="solver_adj" localSheetId="0" hidden="1">sales!$B$14:$B$33</definedName>
    <definedName name="solver_cvg" localSheetId="0" hidden="1">0.0001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bd" localSheetId="0" hidden="1">2</definedName>
    <definedName name="solver_itr" localSheetId="0" hidden="1">100</definedName>
    <definedName name="solver_lhs1" localSheetId="0" hidden="1">sales!$B$14:$B$33</definedName>
    <definedName name="solver_lhs2" localSheetId="0" hidden="1">sales!$B$14:$B$33</definedName>
    <definedName name="solver_lhs3" localSheetId="0" hidden="1">sales!$B$14:$B$33</definedName>
    <definedName name="solver_lin" localSheetId="0" hidden="1">2</definedName>
    <definedName name="solver_loc" localSheetId="0" hidden="1">1</definedName>
    <definedName name="solver_lva" localSheetId="0" hidden="1">2</definedName>
    <definedName name="solver_mip" localSheetId="0" hidden="1">5000</definedName>
    <definedName name="solver_mni" localSheetId="0" hidden="1">30</definedName>
    <definedName name="solver_mrt" localSheetId="0" hidden="1">0.25</definedName>
    <definedName name="solver_msl" localSheetId="0" hidden="1">2</definedName>
    <definedName name="solver_neg" localSheetId="0" hidden="1">2</definedName>
    <definedName name="solver_nod" localSheetId="0" hidden="1">5000</definedName>
    <definedName name="solver_num" localSheetId="0" hidden="1">3</definedName>
    <definedName name="solver_nwt" localSheetId="0" hidden="1">1</definedName>
    <definedName name="solver_ofx" localSheetId="0" hidden="1">2</definedName>
    <definedName name="solver_opt" localSheetId="0" hidden="1">sales!$M$10</definedName>
    <definedName name="solver_piv" localSheetId="0" hidden="1">0.000001</definedName>
    <definedName name="solver_pre" localSheetId="0" hidden="1">0.000001</definedName>
    <definedName name="solver_pro" localSheetId="0" hidden="1">2</definedName>
    <definedName name="solver_rbv" localSheetId="0" hidden="1">1</definedName>
    <definedName name="solver_red" localSheetId="0" hidden="1">0.000001</definedName>
    <definedName name="solver_rel1" localSheetId="0" hidden="1">1</definedName>
    <definedName name="solver_rel2" localSheetId="0" hidden="1">4</definedName>
    <definedName name="solver_rel3" localSheetId="0" hidden="1">3</definedName>
    <definedName name="solver_reo" localSheetId="0" hidden="1">2</definedName>
    <definedName name="solver_rep" localSheetId="0" hidden="1">2</definedName>
    <definedName name="solver_rhs1" localSheetId="0" hidden="1">3</definedName>
    <definedName name="solver_rhs2" localSheetId="0" hidden="1">integer</definedName>
    <definedName name="solver_rhs3" localSheetId="0" hidden="1">1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std" localSheetId="0" hidden="1">0</definedName>
    <definedName name="solver_tim" localSheetId="0" hidden="1">100</definedName>
    <definedName name="solver_tol" localSheetId="0" hidden="1">0.0005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52511"/>
</workbook>
</file>

<file path=xl/calcChain.xml><?xml version="1.0" encoding="utf-8"?>
<calcChain xmlns="http://schemas.openxmlformats.org/spreadsheetml/2006/main">
  <c r="C15" i="1" l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14" i="1"/>
  <c r="K14" i="1" l="1"/>
  <c r="L12" i="1"/>
  <c r="K12" i="1"/>
  <c r="J12" i="1"/>
  <c r="J14" i="1"/>
  <c r="L14" i="1"/>
  <c r="M14" i="1" l="1"/>
</calcChain>
</file>

<file path=xl/sharedStrings.xml><?xml version="1.0" encoding="utf-8"?>
<sst xmlns="http://schemas.openxmlformats.org/spreadsheetml/2006/main" count="21" uniqueCount="19">
  <si>
    <t>Why Have Sales?</t>
  </si>
  <si>
    <t>Code</t>
  </si>
  <si>
    <t>Price</t>
  </si>
  <si>
    <t>Period</t>
  </si>
  <si>
    <t>High buyers</t>
  </si>
  <si>
    <t>High nonbuyers</t>
  </si>
  <si>
    <t>Medium buyers</t>
  </si>
  <si>
    <t>Medium nonbuyers</t>
  </si>
  <si>
    <t>Low buyers</t>
  </si>
  <si>
    <t>Low nonbuyers</t>
  </si>
  <si>
    <t>High sales</t>
  </si>
  <si>
    <t>Medium sales</t>
  </si>
  <si>
    <t>Low sales</t>
  </si>
  <si>
    <t>Revenue</t>
  </si>
  <si>
    <t>New</t>
  </si>
  <si>
    <t>totalrevenue</t>
  </si>
  <si>
    <t>There are three types of customers in the market who values a product $40, $50 and $60. Currenly there are 270 customers equally distributed in these 3 groups. Every year 30 new customers come in each group. The product has 30% chance of lasting 1 year and another 70% chance of lasting 2 years.</t>
  </si>
  <si>
    <t>Buyerst+1=Nonbuyerst+(buyerst-salest)+.7*salest+.5new</t>
  </si>
  <si>
    <t>Nonbuyerst+1=.5New+.3Salest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</si>
</sst>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/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3"/>
  <sheetViews>
    <sheetView tabSelected="1" topLeftCell="A4" zoomScale="90" zoomScaleNormal="90" workbookViewId="0">
      <selection activeCell="P13" sqref="P13"/>
    </sheetView>
  </sheetViews>
  <sheetFormatPr defaultColWidth="9.109375" defaultRowHeight="13.2" x14ac:dyDescent="0.25"/>
  <cols>
    <col min="1" max="8" width="9.109375" style="1"/>
    <col min="9" max="9" width="10.44140625" style="1" customWidth="1"/>
    <col min="10" max="12" width="9.109375" style="1"/>
    <col min="13" max="13" width="12.44140625" style="1" customWidth="1"/>
    <col min="14" max="16384" width="9.109375" style="1"/>
  </cols>
  <sheetData>
    <row r="1" spans="1:13" x14ac:dyDescent="0.25">
      <c r="A1" s="4" t="s">
        <v>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3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3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7" spans="1:13" x14ac:dyDescent="0.25">
      <c r="D7" s="1" t="s">
        <v>14</v>
      </c>
      <c r="E7" s="1">
        <v>30</v>
      </c>
    </row>
    <row r="8" spans="1:13" x14ac:dyDescent="0.25">
      <c r="B8" s="1" t="s">
        <v>0</v>
      </c>
      <c r="G8" s="1" t="s">
        <v>17</v>
      </c>
    </row>
    <row r="9" spans="1:13" x14ac:dyDescent="0.25">
      <c r="D9" s="1" t="s">
        <v>1</v>
      </c>
      <c r="E9" s="1" t="s">
        <v>2</v>
      </c>
      <c r="G9" s="1" t="s">
        <v>18</v>
      </c>
      <c r="M9" s="1" t="s">
        <v>15</v>
      </c>
    </row>
    <row r="10" spans="1:13" x14ac:dyDescent="0.25">
      <c r="D10" s="1">
        <v>1</v>
      </c>
      <c r="E10" s="1">
        <v>40</v>
      </c>
    </row>
    <row r="11" spans="1:13" x14ac:dyDescent="0.25">
      <c r="D11" s="1">
        <v>2</v>
      </c>
      <c r="E11" s="1">
        <v>60</v>
      </c>
    </row>
    <row r="12" spans="1:13" x14ac:dyDescent="0.25">
      <c r="D12" s="1">
        <v>3</v>
      </c>
      <c r="E12" s="1">
        <v>80</v>
      </c>
      <c r="J12" s="1">
        <f>E12</f>
        <v>80</v>
      </c>
      <c r="K12" s="1">
        <f>E11</f>
        <v>60</v>
      </c>
      <c r="L12" s="1">
        <f>E10</f>
        <v>40</v>
      </c>
    </row>
    <row r="13" spans="1:13" ht="39.6" x14ac:dyDescent="0.25">
      <c r="A13" s="1" t="s">
        <v>3</v>
      </c>
      <c r="B13" s="1" t="s">
        <v>1</v>
      </c>
      <c r="C13" s="1" t="s">
        <v>2</v>
      </c>
      <c r="D13" s="2" t="s">
        <v>4</v>
      </c>
      <c r="E13" s="2" t="s">
        <v>5</v>
      </c>
      <c r="F13" s="2" t="s">
        <v>6</v>
      </c>
      <c r="G13" s="2" t="s">
        <v>7</v>
      </c>
      <c r="H13" s="2" t="s">
        <v>8</v>
      </c>
      <c r="I13" s="2" t="s">
        <v>9</v>
      </c>
      <c r="J13" s="2" t="s">
        <v>10</v>
      </c>
      <c r="K13" s="2" t="s">
        <v>11</v>
      </c>
      <c r="L13" s="2" t="s">
        <v>12</v>
      </c>
      <c r="M13" s="2" t="s">
        <v>13</v>
      </c>
    </row>
    <row r="14" spans="1:13" x14ac:dyDescent="0.25">
      <c r="A14" s="1">
        <v>1</v>
      </c>
      <c r="B14" s="3">
        <v>2</v>
      </c>
      <c r="C14" s="1">
        <f>VLOOKUP(B14,$D$9:$E$12,2,FALSE)</f>
        <v>60</v>
      </c>
      <c r="D14" s="1">
        <v>45</v>
      </c>
      <c r="E14" s="1">
        <v>45</v>
      </c>
      <c r="F14" s="1">
        <v>45</v>
      </c>
      <c r="G14" s="1">
        <v>45</v>
      </c>
      <c r="H14" s="1">
        <v>45</v>
      </c>
      <c r="I14" s="1">
        <v>45</v>
      </c>
      <c r="J14" s="1">
        <f>D14</f>
        <v>45</v>
      </c>
      <c r="K14" s="1">
        <f>IF(C14&lt;=$E$11,F14,0)</f>
        <v>45</v>
      </c>
      <c r="L14" s="1">
        <f>IF(C14=$L$12,H14,0)</f>
        <v>0</v>
      </c>
      <c r="M14" s="1">
        <f>SUM(J14:L14)*C14</f>
        <v>5400</v>
      </c>
    </row>
    <row r="15" spans="1:13" x14ac:dyDescent="0.25">
      <c r="A15" s="1">
        <v>2</v>
      </c>
      <c r="B15" s="3">
        <v>1</v>
      </c>
      <c r="C15" s="1">
        <f t="shared" ref="C15:C33" si="0">VLOOKUP(B15,$D$9:$E$12,2,FALSE)</f>
        <v>40</v>
      </c>
    </row>
    <row r="16" spans="1:13" x14ac:dyDescent="0.25">
      <c r="A16" s="1">
        <v>3</v>
      </c>
      <c r="B16" s="3">
        <v>3</v>
      </c>
      <c r="C16" s="1">
        <f t="shared" si="0"/>
        <v>80</v>
      </c>
    </row>
    <row r="17" spans="1:3" x14ac:dyDescent="0.25">
      <c r="A17" s="1">
        <v>4</v>
      </c>
      <c r="B17" s="3">
        <v>1</v>
      </c>
      <c r="C17" s="1">
        <f t="shared" si="0"/>
        <v>40</v>
      </c>
    </row>
    <row r="18" spans="1:3" x14ac:dyDescent="0.25">
      <c r="A18" s="1">
        <v>5</v>
      </c>
      <c r="B18" s="3">
        <v>3</v>
      </c>
      <c r="C18" s="1">
        <f t="shared" si="0"/>
        <v>80</v>
      </c>
    </row>
    <row r="19" spans="1:3" x14ac:dyDescent="0.25">
      <c r="A19" s="1">
        <v>6</v>
      </c>
      <c r="B19" s="3">
        <v>1</v>
      </c>
      <c r="C19" s="1">
        <f t="shared" si="0"/>
        <v>40</v>
      </c>
    </row>
    <row r="20" spans="1:3" x14ac:dyDescent="0.25">
      <c r="A20" s="1">
        <v>7</v>
      </c>
      <c r="B20" s="3">
        <v>3</v>
      </c>
      <c r="C20" s="1">
        <f t="shared" si="0"/>
        <v>80</v>
      </c>
    </row>
    <row r="21" spans="1:3" x14ac:dyDescent="0.25">
      <c r="A21" s="1">
        <v>8</v>
      </c>
      <c r="B21" s="3">
        <v>1</v>
      </c>
      <c r="C21" s="1">
        <f t="shared" si="0"/>
        <v>40</v>
      </c>
    </row>
    <row r="22" spans="1:3" x14ac:dyDescent="0.25">
      <c r="A22" s="1">
        <v>9</v>
      </c>
      <c r="B22" s="3">
        <v>3</v>
      </c>
      <c r="C22" s="1">
        <f t="shared" si="0"/>
        <v>80</v>
      </c>
    </row>
    <row r="23" spans="1:3" x14ac:dyDescent="0.25">
      <c r="A23" s="1">
        <v>10</v>
      </c>
      <c r="B23" s="3">
        <v>1</v>
      </c>
      <c r="C23" s="1">
        <f t="shared" si="0"/>
        <v>40</v>
      </c>
    </row>
    <row r="24" spans="1:3" x14ac:dyDescent="0.25">
      <c r="A24" s="1">
        <v>11</v>
      </c>
      <c r="B24" s="3">
        <v>3</v>
      </c>
      <c r="C24" s="1">
        <f t="shared" si="0"/>
        <v>80</v>
      </c>
    </row>
    <row r="25" spans="1:3" x14ac:dyDescent="0.25">
      <c r="A25" s="1">
        <v>12</v>
      </c>
      <c r="B25" s="3">
        <v>1</v>
      </c>
      <c r="C25" s="1">
        <f t="shared" si="0"/>
        <v>40</v>
      </c>
    </row>
    <row r="26" spans="1:3" x14ac:dyDescent="0.25">
      <c r="A26" s="1">
        <v>13</v>
      </c>
      <c r="B26" s="3">
        <v>3</v>
      </c>
      <c r="C26" s="1">
        <f t="shared" si="0"/>
        <v>80</v>
      </c>
    </row>
    <row r="27" spans="1:3" x14ac:dyDescent="0.25">
      <c r="A27" s="1">
        <v>14</v>
      </c>
      <c r="B27" s="3">
        <v>1</v>
      </c>
      <c r="C27" s="1">
        <f t="shared" si="0"/>
        <v>40</v>
      </c>
    </row>
    <row r="28" spans="1:3" x14ac:dyDescent="0.25">
      <c r="A28" s="1">
        <v>15</v>
      </c>
      <c r="B28" s="3">
        <v>3</v>
      </c>
      <c r="C28" s="1">
        <f t="shared" si="0"/>
        <v>80</v>
      </c>
    </row>
    <row r="29" spans="1:3" x14ac:dyDescent="0.25">
      <c r="A29" s="1">
        <v>16</v>
      </c>
      <c r="B29" s="3">
        <v>1</v>
      </c>
      <c r="C29" s="1">
        <f t="shared" si="0"/>
        <v>40</v>
      </c>
    </row>
    <row r="30" spans="1:3" x14ac:dyDescent="0.25">
      <c r="A30" s="1">
        <v>17</v>
      </c>
      <c r="B30" s="3">
        <v>3</v>
      </c>
      <c r="C30" s="1">
        <f t="shared" si="0"/>
        <v>80</v>
      </c>
    </row>
    <row r="31" spans="1:3" x14ac:dyDescent="0.25">
      <c r="A31" s="1">
        <v>18</v>
      </c>
      <c r="B31" s="3">
        <v>1</v>
      </c>
      <c r="C31" s="1">
        <f t="shared" si="0"/>
        <v>40</v>
      </c>
    </row>
    <row r="32" spans="1:3" x14ac:dyDescent="0.25">
      <c r="A32" s="1">
        <v>19</v>
      </c>
      <c r="B32" s="3">
        <v>3</v>
      </c>
      <c r="C32" s="1">
        <f t="shared" si="0"/>
        <v>80</v>
      </c>
    </row>
    <row r="33" spans="1:3" x14ac:dyDescent="0.25">
      <c r="A33" s="1">
        <v>20</v>
      </c>
      <c r="B33" s="3">
        <v>1</v>
      </c>
      <c r="C33" s="1">
        <f t="shared" si="0"/>
        <v>40</v>
      </c>
    </row>
  </sheetData>
  <mergeCells count="1">
    <mergeCell ref="A1:L5"/>
  </mergeCells>
  <phoneticPr fontId="2" type="noConversion"/>
  <printOptions headings="1" gridLines="1"/>
  <pageMargins left="0.75" right="0.75" top="1" bottom="1" header="0.5" footer="0.5"/>
  <pageSetup scale="68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>Kelley School of Business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Services</dc:creator>
  <cp:lastModifiedBy>swagato</cp:lastModifiedBy>
  <dcterms:created xsi:type="dcterms:W3CDTF">2004-06-06T15:03:05Z</dcterms:created>
  <dcterms:modified xsi:type="dcterms:W3CDTF">2019-11-27T07:50:49Z</dcterms:modified>
</cp:coreProperties>
</file>