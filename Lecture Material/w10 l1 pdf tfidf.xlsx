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ptop\Dropbox\iitkgp faculty\Courses\marketing analytics nptel\Sessions\Week10\Session 1\"/>
    </mc:Choice>
  </mc:AlternateContent>
  <bookViews>
    <workbookView xWindow="0" yWindow="0" windowWidth="20490" windowHeight="7755" firstSheet="1" activeTab="2"/>
  </bookViews>
  <sheets>
    <sheet name="Sheet3" sheetId="3" state="hidden" r:id="rId1"/>
    <sheet name="TF_IDF" sheetId="4" r:id="rId2"/>
    <sheet name="Sheet1" sheetId="7" r:id="rId3"/>
  </sheets>
  <calcPr calcId="152511"/>
</workbook>
</file>

<file path=xl/calcChain.xml><?xml version="1.0" encoding="utf-8"?>
<calcChain xmlns="http://schemas.openxmlformats.org/spreadsheetml/2006/main">
  <c r="S8" i="4" l="1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7" i="4"/>
  <c r="AS21" i="4"/>
  <c r="AS20" i="4"/>
  <c r="AS19" i="4"/>
  <c r="AS18" i="4"/>
  <c r="AS17" i="4"/>
  <c r="AS16" i="4"/>
  <c r="AS15" i="4"/>
  <c r="AS14" i="4"/>
  <c r="AS13" i="4"/>
  <c r="AS12" i="4"/>
  <c r="AS11" i="4"/>
  <c r="AS10" i="4"/>
  <c r="AS9" i="4"/>
  <c r="AS8" i="4"/>
  <c r="AS7" i="4"/>
  <c r="AM21" i="4"/>
  <c r="AM20" i="4"/>
  <c r="AM19" i="4"/>
  <c r="AM18" i="4"/>
  <c r="AM17" i="4"/>
  <c r="AM16" i="4"/>
  <c r="AM15" i="4"/>
  <c r="AM14" i="4"/>
  <c r="AM13" i="4"/>
  <c r="AM12" i="4"/>
  <c r="AM11" i="4"/>
  <c r="AM10" i="4"/>
  <c r="AM9" i="4"/>
  <c r="AM8" i="4"/>
  <c r="AM7" i="4"/>
  <c r="AF21" i="4"/>
  <c r="AF20" i="4"/>
  <c r="AF19" i="4"/>
  <c r="AF18" i="4"/>
  <c r="AF17" i="4"/>
  <c r="AF16" i="4"/>
  <c r="AF15" i="4"/>
  <c r="AF14" i="4"/>
  <c r="AF13" i="4"/>
  <c r="AF12" i="4"/>
  <c r="AF11" i="4"/>
  <c r="AF10" i="4"/>
  <c r="AF9" i="4"/>
  <c r="AF8" i="4"/>
  <c r="AF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7" i="4"/>
  <c r="AO7" i="4"/>
  <c r="AO8" i="4"/>
  <c r="AO9" i="4"/>
  <c r="AO10" i="4"/>
  <c r="AO11" i="4"/>
  <c r="AO12" i="4"/>
  <c r="AO13" i="4"/>
  <c r="AO14" i="4"/>
  <c r="AO15" i="4"/>
  <c r="AO16" i="4"/>
  <c r="AO17" i="4"/>
  <c r="AO18" i="4"/>
  <c r="AO19" i="4"/>
  <c r="AO20" i="4"/>
  <c r="AU20" i="4"/>
  <c r="AU19" i="4"/>
  <c r="AU18" i="4"/>
  <c r="AU17" i="4"/>
  <c r="AU16" i="4"/>
  <c r="AU15" i="4"/>
  <c r="AU14" i="4"/>
  <c r="AU13" i="4"/>
  <c r="AU12" i="4"/>
  <c r="AU11" i="4"/>
  <c r="AU10" i="4"/>
  <c r="AU9" i="4"/>
  <c r="AU8" i="4"/>
  <c r="AU7" i="4"/>
  <c r="AH20" i="4"/>
  <c r="AH19" i="4"/>
  <c r="AH18" i="4"/>
  <c r="AH17" i="4"/>
  <c r="AH16" i="4"/>
  <c r="AH15" i="4"/>
  <c r="AH14" i="4"/>
  <c r="AH13" i="4"/>
  <c r="AH12" i="4"/>
  <c r="AH11" i="4"/>
  <c r="AH10" i="4"/>
  <c r="AH9" i="4"/>
  <c r="AH8" i="4"/>
  <c r="AH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7" i="4"/>
  <c r="AB21" i="4" s="1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7" i="4"/>
  <c r="X21" i="4" s="1"/>
  <c r="K7" i="3"/>
  <c r="K8" i="3"/>
  <c r="K9" i="3"/>
  <c r="K10" i="3"/>
  <c r="K11" i="3"/>
  <c r="K12" i="3"/>
  <c r="K13" i="3"/>
  <c r="K14" i="3"/>
  <c r="K15" i="3"/>
  <c r="K6" i="3"/>
  <c r="AC17" i="4" l="1"/>
  <c r="AC13" i="4"/>
  <c r="AC9" i="4"/>
  <c r="R9" i="4" s="1"/>
  <c r="T9" i="4" s="1"/>
  <c r="AC20" i="4"/>
  <c r="AC16" i="4"/>
  <c r="AC12" i="4"/>
  <c r="AC8" i="4"/>
  <c r="R8" i="4" s="1"/>
  <c r="T8" i="4" s="1"/>
  <c r="AV20" i="4"/>
  <c r="R23" i="4" s="1"/>
  <c r="T23" i="4" s="1"/>
  <c r="AC19" i="4"/>
  <c r="AC15" i="4"/>
  <c r="AC11" i="4"/>
  <c r="R11" i="4" s="1"/>
  <c r="T11" i="4" s="1"/>
  <c r="AV13" i="4"/>
  <c r="AC18" i="4"/>
  <c r="AC14" i="4"/>
  <c r="AC10" i="4"/>
  <c r="R10" i="4" s="1"/>
  <c r="T10" i="4" s="1"/>
  <c r="AV10" i="4"/>
  <c r="AH21" i="4"/>
  <c r="AI17" i="4" s="1"/>
  <c r="AC7" i="4"/>
  <c r="R7" i="4" s="1"/>
  <c r="T7" i="4" s="1"/>
  <c r="AU21" i="4"/>
  <c r="AV19" i="4" s="1"/>
  <c r="R22" i="4" s="1"/>
  <c r="T22" i="4" s="1"/>
  <c r="AO21" i="4"/>
  <c r="AP15" i="4" s="1"/>
  <c r="R16" i="4" s="1"/>
  <c r="T16" i="4" s="1"/>
  <c r="AP7" i="4" l="1"/>
  <c r="AV18" i="4"/>
  <c r="R21" i="4" s="1"/>
  <c r="T21" i="4" s="1"/>
  <c r="AI16" i="4"/>
  <c r="AP12" i="4"/>
  <c r="AI7" i="4"/>
  <c r="AI11" i="4"/>
  <c r="AV12" i="4"/>
  <c r="AI8" i="4"/>
  <c r="AP20" i="4"/>
  <c r="AP13" i="4"/>
  <c r="AI9" i="4"/>
  <c r="R12" i="4" s="1"/>
  <c r="T12" i="4" s="1"/>
  <c r="AP19" i="4"/>
  <c r="AI20" i="4"/>
  <c r="AP8" i="4"/>
  <c r="AV17" i="4"/>
  <c r="R20" i="4" s="1"/>
  <c r="T20" i="4" s="1"/>
  <c r="AI15" i="4"/>
  <c r="AP17" i="4"/>
  <c r="AV8" i="4"/>
  <c r="AP10" i="4"/>
  <c r="AV15" i="4"/>
  <c r="R19" i="4" s="1"/>
  <c r="T19" i="4" s="1"/>
  <c r="AI13" i="4"/>
  <c r="R14" i="4" s="1"/>
  <c r="T14" i="4" s="1"/>
  <c r="AI18" i="4"/>
  <c r="AP14" i="4"/>
  <c r="R15" i="4" s="1"/>
  <c r="T15" i="4" s="1"/>
  <c r="AV11" i="4"/>
  <c r="AP11" i="4"/>
  <c r="AV14" i="4"/>
  <c r="AI12" i="4"/>
  <c r="R13" i="4" s="1"/>
  <c r="T13" i="4" s="1"/>
  <c r="AP16" i="4"/>
  <c r="R17" i="4" s="1"/>
  <c r="T17" i="4" s="1"/>
  <c r="AV9" i="4"/>
  <c r="AP9" i="4"/>
  <c r="R18" i="4" s="1"/>
  <c r="T18" i="4" s="1"/>
  <c r="AV16" i="4"/>
  <c r="AI14" i="4"/>
  <c r="AP18" i="4"/>
  <c r="AV7" i="4"/>
  <c r="AI19" i="4"/>
  <c r="AI10" i="4"/>
</calcChain>
</file>

<file path=xl/sharedStrings.xml><?xml version="1.0" encoding="utf-8"?>
<sst xmlns="http://schemas.openxmlformats.org/spreadsheetml/2006/main" count="238" uniqueCount="44">
  <si>
    <t>I eat fish and vegetables.</t>
  </si>
  <si>
    <t>Fish are pets.</t>
  </si>
  <si>
    <t>My kitten eats fish.</t>
  </si>
  <si>
    <t>I</t>
  </si>
  <si>
    <t>eat</t>
  </si>
  <si>
    <t>fish</t>
  </si>
  <si>
    <t>and</t>
  </si>
  <si>
    <t>Fish</t>
  </si>
  <si>
    <t>are</t>
  </si>
  <si>
    <t>My</t>
  </si>
  <si>
    <t>kitten</t>
  </si>
  <si>
    <t>eats</t>
  </si>
  <si>
    <t>pets</t>
  </si>
  <si>
    <t>vegetables</t>
  </si>
  <si>
    <t>Kitten is a very lovable pet</t>
  </si>
  <si>
    <t>Kitten is a lovable pet</t>
  </si>
  <si>
    <t>Kitten is a lovable pet.</t>
  </si>
  <si>
    <t>Remove full stop</t>
  </si>
  <si>
    <t>I eat fish and vegetables</t>
  </si>
  <si>
    <t>Fish are pets</t>
  </si>
  <si>
    <t>Kitten</t>
  </si>
  <si>
    <t>is</t>
  </si>
  <si>
    <t>a</t>
  </si>
  <si>
    <t>lovable</t>
  </si>
  <si>
    <t>pet</t>
  </si>
  <si>
    <t>My kitten eats fish</t>
  </si>
  <si>
    <t>List of all words</t>
  </si>
  <si>
    <t>List of all distinct words</t>
  </si>
  <si>
    <t>Count</t>
  </si>
  <si>
    <t>Doc1</t>
  </si>
  <si>
    <t>Doc2</t>
  </si>
  <si>
    <t>Doc3</t>
  </si>
  <si>
    <t>Doc4</t>
  </si>
  <si>
    <t>Document name</t>
  </si>
  <si>
    <t>Entire Document</t>
  </si>
  <si>
    <t>TF</t>
  </si>
  <si>
    <t>Total words</t>
  </si>
  <si>
    <t>Key</t>
  </si>
  <si>
    <t>IDF</t>
  </si>
  <si>
    <t>TF IDF</t>
  </si>
  <si>
    <t>Split</t>
  </si>
  <si>
    <t>Sachin is a cricketer</t>
  </si>
  <si>
    <t>Sachin meets Roger</t>
  </si>
  <si>
    <t>Roger plays tennis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</si>
</sst>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1" fillId="0" borderId="0" xfId="0" applyFont="1" applyBorder="1"/>
    <xf numFmtId="0" fontId="0" fillId="0" borderId="0" xfId="0" applyBorder="1"/>
    <xf numFmtId="0" fontId="0" fillId="0" borderId="1" xfId="0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4</xdr:row>
      <xdr:rowOff>76200</xdr:rowOff>
    </xdr:from>
    <xdr:to>
      <xdr:col>9</xdr:col>
      <xdr:colOff>1228725</xdr:colOff>
      <xdr:row>5</xdr:row>
      <xdr:rowOff>104775</xdr:rowOff>
    </xdr:to>
    <xdr:sp macro="" textlink="">
      <xdr:nvSpPr>
        <xdr:cNvPr id="2" name="Isosceles Triangle 1"/>
        <xdr:cNvSpPr/>
      </xdr:nvSpPr>
      <xdr:spPr>
        <a:xfrm>
          <a:off x="4238625" y="838200"/>
          <a:ext cx="2476500" cy="219075"/>
        </a:xfrm>
        <a:prstGeom prst="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K18"/>
  <sheetViews>
    <sheetView workbookViewId="0">
      <selection activeCell="D4" sqref="D4"/>
    </sheetView>
  </sheetViews>
  <sheetFormatPr defaultRowHeight="15" x14ac:dyDescent="0.25"/>
  <sheetData>
    <row r="1" spans="4:11" x14ac:dyDescent="0.25">
      <c r="D1" t="s">
        <v>3</v>
      </c>
      <c r="E1" t="s">
        <v>4</v>
      </c>
      <c r="F1" t="s">
        <v>5</v>
      </c>
      <c r="G1" t="s">
        <v>6</v>
      </c>
      <c r="H1" t="s">
        <v>13</v>
      </c>
    </row>
    <row r="2" spans="4:11" x14ac:dyDescent="0.25">
      <c r="D2" t="s">
        <v>7</v>
      </c>
      <c r="E2" t="s">
        <v>8</v>
      </c>
      <c r="F2" t="s">
        <v>12</v>
      </c>
    </row>
    <row r="3" spans="4:11" x14ac:dyDescent="0.25">
      <c r="D3" t="s">
        <v>9</v>
      </c>
      <c r="E3" t="s">
        <v>10</v>
      </c>
      <c r="F3" t="s">
        <v>11</v>
      </c>
      <c r="G3" t="s">
        <v>5</v>
      </c>
    </row>
    <row r="4" spans="4:11" x14ac:dyDescent="0.25">
      <c r="D4" t="s">
        <v>14</v>
      </c>
    </row>
    <row r="6" spans="4:11" x14ac:dyDescent="0.25">
      <c r="J6" t="s">
        <v>3</v>
      </c>
      <c r="K6">
        <f>COUNTIF($D$7:$D$18,J6)</f>
        <v>1</v>
      </c>
    </row>
    <row r="7" spans="4:11" x14ac:dyDescent="0.25">
      <c r="D7" t="s">
        <v>3</v>
      </c>
      <c r="J7" t="s">
        <v>4</v>
      </c>
      <c r="K7">
        <f t="shared" ref="K7:K15" si="0">COUNTIF($D$7:$D$18,J7)</f>
        <v>1</v>
      </c>
    </row>
    <row r="8" spans="4:11" x14ac:dyDescent="0.25">
      <c r="D8" t="s">
        <v>4</v>
      </c>
      <c r="J8" t="s">
        <v>5</v>
      </c>
      <c r="K8">
        <f t="shared" si="0"/>
        <v>3</v>
      </c>
    </row>
    <row r="9" spans="4:11" x14ac:dyDescent="0.25">
      <c r="D9" t="s">
        <v>5</v>
      </c>
      <c r="J9" t="s">
        <v>6</v>
      </c>
      <c r="K9">
        <f t="shared" si="0"/>
        <v>1</v>
      </c>
    </row>
    <row r="10" spans="4:11" x14ac:dyDescent="0.25">
      <c r="D10" t="s">
        <v>6</v>
      </c>
      <c r="J10" t="s">
        <v>13</v>
      </c>
      <c r="K10">
        <f t="shared" si="0"/>
        <v>1</v>
      </c>
    </row>
    <row r="11" spans="4:11" x14ac:dyDescent="0.25">
      <c r="D11" t="s">
        <v>13</v>
      </c>
      <c r="J11" t="s">
        <v>8</v>
      </c>
      <c r="K11">
        <f t="shared" si="0"/>
        <v>1</v>
      </c>
    </row>
    <row r="12" spans="4:11" x14ac:dyDescent="0.25">
      <c r="D12" t="s">
        <v>7</v>
      </c>
      <c r="J12" t="s">
        <v>12</v>
      </c>
      <c r="K12">
        <f t="shared" si="0"/>
        <v>1</v>
      </c>
    </row>
    <row r="13" spans="4:11" x14ac:dyDescent="0.25">
      <c r="D13" t="s">
        <v>8</v>
      </c>
      <c r="J13" t="s">
        <v>9</v>
      </c>
      <c r="K13">
        <f t="shared" si="0"/>
        <v>1</v>
      </c>
    </row>
    <row r="14" spans="4:11" x14ac:dyDescent="0.25">
      <c r="D14" t="s">
        <v>12</v>
      </c>
      <c r="J14" t="s">
        <v>10</v>
      </c>
      <c r="K14">
        <f t="shared" si="0"/>
        <v>1</v>
      </c>
    </row>
    <row r="15" spans="4:11" x14ac:dyDescent="0.25">
      <c r="D15" t="s">
        <v>9</v>
      </c>
      <c r="J15" t="s">
        <v>11</v>
      </c>
      <c r="K15">
        <f t="shared" si="0"/>
        <v>1</v>
      </c>
    </row>
    <row r="16" spans="4:11" x14ac:dyDescent="0.25">
      <c r="D16" t="s">
        <v>10</v>
      </c>
    </row>
    <row r="17" spans="4:4" x14ac:dyDescent="0.25">
      <c r="D17" t="s">
        <v>11</v>
      </c>
    </row>
    <row r="18" spans="4:4" x14ac:dyDescent="0.25">
      <c r="D18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Y23"/>
  <sheetViews>
    <sheetView topLeftCell="B1" workbookViewId="0">
      <selection activeCell="S7" sqref="S7"/>
    </sheetView>
  </sheetViews>
  <sheetFormatPr defaultRowHeight="15" x14ac:dyDescent="0.25"/>
  <cols>
    <col min="10" max="10" width="22.140625" bestFit="1" customWidth="1"/>
    <col min="14" max="14" width="22.140625" bestFit="1" customWidth="1"/>
    <col min="17" max="17" width="14.85546875" bestFit="1" customWidth="1"/>
    <col min="50" max="50" width="15.7109375" bestFit="1" customWidth="1"/>
    <col min="51" max="51" width="14.85546875" bestFit="1" customWidth="1"/>
  </cols>
  <sheetData>
    <row r="1" spans="2:51" x14ac:dyDescent="0.25">
      <c r="H1" t="s">
        <v>3</v>
      </c>
      <c r="I1" t="s">
        <v>4</v>
      </c>
      <c r="J1" t="s">
        <v>5</v>
      </c>
      <c r="K1" t="s">
        <v>6</v>
      </c>
      <c r="L1" t="s">
        <v>13</v>
      </c>
    </row>
    <row r="2" spans="2:51" x14ac:dyDescent="0.25">
      <c r="B2" t="s">
        <v>0</v>
      </c>
      <c r="H2" t="s">
        <v>7</v>
      </c>
      <c r="I2" t="s">
        <v>8</v>
      </c>
      <c r="J2" t="s">
        <v>12</v>
      </c>
    </row>
    <row r="3" spans="2:51" x14ac:dyDescent="0.25">
      <c r="B3" t="s">
        <v>1</v>
      </c>
      <c r="H3" t="s">
        <v>9</v>
      </c>
      <c r="I3" t="s">
        <v>10</v>
      </c>
      <c r="J3" t="s">
        <v>11</v>
      </c>
      <c r="K3" t="s">
        <v>5</v>
      </c>
    </row>
    <row r="4" spans="2:51" x14ac:dyDescent="0.25">
      <c r="B4" t="s">
        <v>2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</row>
    <row r="5" spans="2:51" x14ac:dyDescent="0.25">
      <c r="B5" t="s">
        <v>16</v>
      </c>
      <c r="W5" s="1" t="s">
        <v>34</v>
      </c>
      <c r="AA5" s="1" t="s">
        <v>29</v>
      </c>
      <c r="AG5" s="1" t="s">
        <v>30</v>
      </c>
      <c r="AN5" s="1" t="s">
        <v>31</v>
      </c>
      <c r="AT5" s="1" t="s">
        <v>32</v>
      </c>
    </row>
    <row r="6" spans="2:51" x14ac:dyDescent="0.25">
      <c r="P6" s="1" t="s">
        <v>33</v>
      </c>
      <c r="Q6" s="1" t="s">
        <v>26</v>
      </c>
      <c r="R6" s="1" t="s">
        <v>35</v>
      </c>
      <c r="S6" s="1" t="s">
        <v>38</v>
      </c>
      <c r="T6" s="1" t="s">
        <v>39</v>
      </c>
      <c r="U6" s="1"/>
      <c r="V6" s="1"/>
      <c r="W6" s="3" t="s">
        <v>27</v>
      </c>
      <c r="X6" s="3" t="s">
        <v>28</v>
      </c>
      <c r="Z6" s="2" t="s">
        <v>37</v>
      </c>
      <c r="AA6" s="3" t="s">
        <v>27</v>
      </c>
      <c r="AB6" s="3" t="s">
        <v>28</v>
      </c>
      <c r="AC6" s="3" t="s">
        <v>35</v>
      </c>
      <c r="AD6" s="4"/>
      <c r="AE6" s="4"/>
      <c r="AF6" s="2" t="s">
        <v>37</v>
      </c>
      <c r="AG6" s="3" t="s">
        <v>27</v>
      </c>
      <c r="AH6" s="3" t="s">
        <v>28</v>
      </c>
      <c r="AI6" s="3" t="s">
        <v>35</v>
      </c>
      <c r="AJ6" s="4"/>
      <c r="AK6" s="4"/>
      <c r="AL6" s="4"/>
      <c r="AM6" s="2" t="s">
        <v>37</v>
      </c>
      <c r="AN6" s="3" t="s">
        <v>27</v>
      </c>
      <c r="AO6" s="3" t="s">
        <v>28</v>
      </c>
      <c r="AP6" s="3" t="s">
        <v>35</v>
      </c>
      <c r="AQ6" s="4"/>
      <c r="AR6" s="4"/>
      <c r="AS6" s="2" t="s">
        <v>37</v>
      </c>
      <c r="AT6" s="3" t="s">
        <v>27</v>
      </c>
      <c r="AU6" s="3" t="s">
        <v>28</v>
      </c>
      <c r="AV6" s="3" t="s">
        <v>35</v>
      </c>
      <c r="AX6" s="3" t="s">
        <v>33</v>
      </c>
      <c r="AY6" s="3" t="s">
        <v>26</v>
      </c>
    </row>
    <row r="7" spans="2:51" x14ac:dyDescent="0.25">
      <c r="B7" s="1" t="s">
        <v>17</v>
      </c>
      <c r="I7" s="1" t="s">
        <v>40</v>
      </c>
      <c r="P7" t="s">
        <v>29</v>
      </c>
      <c r="Q7" t="s">
        <v>3</v>
      </c>
      <c r="R7">
        <f>VLOOKUP(P7&amp;Q7,$Z$7:$AC$20,4,0)</f>
        <v>0.2</v>
      </c>
      <c r="S7">
        <f>LOG(4/COUNTIF($AY$7:$AY$23,Q7),2)</f>
        <v>2</v>
      </c>
      <c r="T7">
        <f>S7*R7</f>
        <v>0.4</v>
      </c>
      <c r="W7" s="2" t="s">
        <v>3</v>
      </c>
      <c r="X7" s="2">
        <f t="shared" ref="X7:X20" si="0">COUNTIF($Q$7:$Q$23,W7)</f>
        <v>1</v>
      </c>
      <c r="Z7" s="2" t="str">
        <f>AA$5&amp;AA7</f>
        <v>Doc1I</v>
      </c>
      <c r="AA7" s="2" t="s">
        <v>3</v>
      </c>
      <c r="AB7" s="2">
        <f>COUNTIFS($Q$7:$Q$23,AA7,$P$7:$P$23,AA$5)</f>
        <v>1</v>
      </c>
      <c r="AC7" s="2">
        <f>AB7/AB$21</f>
        <v>0.2</v>
      </c>
      <c r="AD7" s="5"/>
      <c r="AE7" s="5"/>
      <c r="AF7" s="2" t="str">
        <f>AG$5&amp;AG7</f>
        <v>Doc2I</v>
      </c>
      <c r="AG7" s="2" t="s">
        <v>3</v>
      </c>
      <c r="AH7" s="2">
        <f>COUNTIFS($Q$7:$Q$23,AG7,$P$7:$P$23,AG$5)</f>
        <v>0</v>
      </c>
      <c r="AI7" s="2">
        <f>AH7/AH$21</f>
        <v>0</v>
      </c>
      <c r="AJ7" s="5"/>
      <c r="AK7" s="5"/>
      <c r="AL7" s="5"/>
      <c r="AM7" s="2" t="str">
        <f>AN$5&amp;AN7</f>
        <v>Doc3I</v>
      </c>
      <c r="AN7" s="2" t="s">
        <v>3</v>
      </c>
      <c r="AO7" s="2">
        <f>COUNTIFS($Q$7:$Q$23,AN7,$P$7:$P$23,AN$5)</f>
        <v>0</v>
      </c>
      <c r="AP7" s="2">
        <f>AO7/AO$21</f>
        <v>0</v>
      </c>
      <c r="AQ7" s="5"/>
      <c r="AR7" s="5"/>
      <c r="AS7" s="2" t="str">
        <f>AT$5&amp;AT7</f>
        <v>Doc4I</v>
      </c>
      <c r="AT7" s="2" t="s">
        <v>3</v>
      </c>
      <c r="AU7" s="2">
        <f>COUNTIFS($Q$7:$Q$23,AT7,$P$7:$P$23,AT$5)</f>
        <v>0</v>
      </c>
      <c r="AV7" s="2">
        <f>AU7/AU$21</f>
        <v>0</v>
      </c>
      <c r="AX7" s="2" t="s">
        <v>29</v>
      </c>
      <c r="AY7" s="2" t="s">
        <v>3</v>
      </c>
    </row>
    <row r="8" spans="2:51" x14ac:dyDescent="0.25">
      <c r="B8" t="s">
        <v>18</v>
      </c>
      <c r="P8" t="s">
        <v>29</v>
      </c>
      <c r="Q8" t="s">
        <v>4</v>
      </c>
      <c r="R8">
        <f>VLOOKUP(P8&amp;Q8,$Z$7:$AC$20,4,0)</f>
        <v>0.2</v>
      </c>
      <c r="S8">
        <f t="shared" ref="S8:S23" si="1">LOG(4/COUNTIF($AY$7:$AY$23,Q8),2)</f>
        <v>2</v>
      </c>
      <c r="T8">
        <f t="shared" ref="T8:T23" si="2">S8*R8</f>
        <v>0.4</v>
      </c>
      <c r="W8" s="2" t="s">
        <v>4</v>
      </c>
      <c r="X8" s="2">
        <f t="shared" si="0"/>
        <v>1</v>
      </c>
      <c r="Z8" s="2" t="str">
        <f t="shared" ref="Z8:Z21" si="3">AA$5&amp;AA8</f>
        <v>Doc1eat</v>
      </c>
      <c r="AA8" s="2" t="s">
        <v>4</v>
      </c>
      <c r="AB8" s="2">
        <f t="shared" ref="AB8:AB20" si="4">COUNTIFS($Q$7:$Q$23,AA8,$P$7:$P$23,AA$5)</f>
        <v>1</v>
      </c>
      <c r="AC8" s="2">
        <f t="shared" ref="AC8:AC20" si="5">AB8/AB$21</f>
        <v>0.2</v>
      </c>
      <c r="AD8" s="5"/>
      <c r="AE8" s="5"/>
      <c r="AF8" s="2" t="str">
        <f t="shared" ref="AF8:AF21" si="6">AG$5&amp;AG8</f>
        <v>Doc2eat</v>
      </c>
      <c r="AG8" s="2" t="s">
        <v>4</v>
      </c>
      <c r="AH8" s="2">
        <f t="shared" ref="AH8:AH20" si="7">COUNTIFS($Q$7:$Q$23,AG8,$P$7:$P$23,AG$5)</f>
        <v>0</v>
      </c>
      <c r="AI8" s="2">
        <f t="shared" ref="AI8:AI20" si="8">AH8/AH$21</f>
        <v>0</v>
      </c>
      <c r="AJ8" s="5"/>
      <c r="AK8" s="5"/>
      <c r="AL8" s="5"/>
      <c r="AM8" s="2" t="str">
        <f t="shared" ref="AM8:AM21" si="9">AN$5&amp;AN8</f>
        <v>Doc3eat</v>
      </c>
      <c r="AN8" s="2" t="s">
        <v>4</v>
      </c>
      <c r="AO8" s="2">
        <f t="shared" ref="AO8:AO20" si="10">COUNTIFS($Q$7:$Q$23,AN8,$P$7:$P$23,AN$5)</f>
        <v>0</v>
      </c>
      <c r="AP8" s="2">
        <f t="shared" ref="AP8:AP20" si="11">AO8/AO$21</f>
        <v>0</v>
      </c>
      <c r="AQ8" s="5"/>
      <c r="AR8" s="5"/>
      <c r="AS8" s="2" t="str">
        <f t="shared" ref="AS8:AS21" si="12">AT$5&amp;AT8</f>
        <v>Doc4eat</v>
      </c>
      <c r="AT8" s="2" t="s">
        <v>4</v>
      </c>
      <c r="AU8" s="2">
        <f t="shared" ref="AU8:AU20" si="13">COUNTIFS($Q$7:$Q$23,AT8,$P$7:$P$23,AT$5)</f>
        <v>0</v>
      </c>
      <c r="AV8" s="2">
        <f t="shared" ref="AV8:AV20" si="14">AU8/AU$21</f>
        <v>0</v>
      </c>
      <c r="AX8" s="2" t="s">
        <v>29</v>
      </c>
      <c r="AY8" s="2" t="s">
        <v>4</v>
      </c>
    </row>
    <row r="9" spans="2:51" x14ac:dyDescent="0.25">
      <c r="B9" t="s">
        <v>19</v>
      </c>
      <c r="P9" t="s">
        <v>29</v>
      </c>
      <c r="Q9" t="s">
        <v>5</v>
      </c>
      <c r="R9">
        <f>VLOOKUP(P9&amp;Q9,$Z$7:$AC$20,4,0)</f>
        <v>0.2</v>
      </c>
      <c r="S9">
        <f t="shared" si="1"/>
        <v>0.4150374992788437</v>
      </c>
      <c r="T9">
        <f t="shared" si="2"/>
        <v>8.3007499855768746E-2</v>
      </c>
      <c r="W9" s="2" t="s">
        <v>5</v>
      </c>
      <c r="X9" s="2">
        <f t="shared" si="0"/>
        <v>3</v>
      </c>
      <c r="Z9" s="2" t="str">
        <f t="shared" si="3"/>
        <v>Doc1fish</v>
      </c>
      <c r="AA9" s="2" t="s">
        <v>5</v>
      </c>
      <c r="AB9" s="2">
        <f t="shared" si="4"/>
        <v>1</v>
      </c>
      <c r="AC9" s="2">
        <f t="shared" si="5"/>
        <v>0.2</v>
      </c>
      <c r="AD9" s="5"/>
      <c r="AE9" s="5"/>
      <c r="AF9" s="2" t="str">
        <f t="shared" si="6"/>
        <v>Doc2fish</v>
      </c>
      <c r="AG9" s="2" t="s">
        <v>5</v>
      </c>
      <c r="AH9" s="2">
        <f t="shared" si="7"/>
        <v>1</v>
      </c>
      <c r="AI9" s="2">
        <f t="shared" si="8"/>
        <v>0.33333333333333331</v>
      </c>
      <c r="AJ9" s="5"/>
      <c r="AK9" s="5"/>
      <c r="AL9" s="5"/>
      <c r="AM9" s="2" t="str">
        <f t="shared" si="9"/>
        <v>Doc3fish</v>
      </c>
      <c r="AN9" s="2" t="s">
        <v>5</v>
      </c>
      <c r="AO9" s="2">
        <f t="shared" si="10"/>
        <v>1</v>
      </c>
      <c r="AP9" s="2">
        <f t="shared" si="11"/>
        <v>0.25</v>
      </c>
      <c r="AQ9" s="5"/>
      <c r="AR9" s="5"/>
      <c r="AS9" s="2" t="str">
        <f t="shared" si="12"/>
        <v>Doc4fish</v>
      </c>
      <c r="AT9" s="2" t="s">
        <v>5</v>
      </c>
      <c r="AU9" s="2">
        <f t="shared" si="13"/>
        <v>0</v>
      </c>
      <c r="AV9" s="2">
        <f t="shared" si="14"/>
        <v>0</v>
      </c>
      <c r="AX9" s="2" t="s">
        <v>29</v>
      </c>
      <c r="AY9" s="2" t="s">
        <v>5</v>
      </c>
    </row>
    <row r="10" spans="2:51" x14ac:dyDescent="0.25">
      <c r="B10" t="s">
        <v>25</v>
      </c>
      <c r="P10" t="s">
        <v>29</v>
      </c>
      <c r="Q10" t="s">
        <v>6</v>
      </c>
      <c r="R10">
        <f>VLOOKUP(P10&amp;Q10,$Z$7:$AC$20,4,0)</f>
        <v>0.2</v>
      </c>
      <c r="S10">
        <f t="shared" si="1"/>
        <v>2</v>
      </c>
      <c r="T10">
        <f t="shared" si="2"/>
        <v>0.4</v>
      </c>
      <c r="W10" s="2" t="s">
        <v>6</v>
      </c>
      <c r="X10" s="2">
        <f t="shared" si="0"/>
        <v>1</v>
      </c>
      <c r="Z10" s="2" t="str">
        <f t="shared" si="3"/>
        <v>Doc1and</v>
      </c>
      <c r="AA10" s="2" t="s">
        <v>6</v>
      </c>
      <c r="AB10" s="2">
        <f t="shared" si="4"/>
        <v>1</v>
      </c>
      <c r="AC10" s="2">
        <f t="shared" si="5"/>
        <v>0.2</v>
      </c>
      <c r="AD10" s="5"/>
      <c r="AE10" s="5"/>
      <c r="AF10" s="2" t="str">
        <f t="shared" si="6"/>
        <v>Doc2and</v>
      </c>
      <c r="AG10" s="2" t="s">
        <v>6</v>
      </c>
      <c r="AH10" s="2">
        <f t="shared" si="7"/>
        <v>0</v>
      </c>
      <c r="AI10" s="2">
        <f t="shared" si="8"/>
        <v>0</v>
      </c>
      <c r="AJ10" s="5"/>
      <c r="AK10" s="5"/>
      <c r="AL10" s="5"/>
      <c r="AM10" s="2" t="str">
        <f t="shared" si="9"/>
        <v>Doc3and</v>
      </c>
      <c r="AN10" s="2" t="s">
        <v>6</v>
      </c>
      <c r="AO10" s="2">
        <f t="shared" si="10"/>
        <v>0</v>
      </c>
      <c r="AP10" s="2">
        <f t="shared" si="11"/>
        <v>0</v>
      </c>
      <c r="AQ10" s="5"/>
      <c r="AR10" s="5"/>
      <c r="AS10" s="2" t="str">
        <f t="shared" si="12"/>
        <v>Doc4and</v>
      </c>
      <c r="AT10" s="2" t="s">
        <v>6</v>
      </c>
      <c r="AU10" s="2">
        <f t="shared" si="13"/>
        <v>0</v>
      </c>
      <c r="AV10" s="2">
        <f t="shared" si="14"/>
        <v>0</v>
      </c>
      <c r="AX10" s="2" t="s">
        <v>29</v>
      </c>
      <c r="AY10" s="2" t="s">
        <v>6</v>
      </c>
    </row>
    <row r="11" spans="2:51" x14ac:dyDescent="0.25">
      <c r="B11" t="s">
        <v>15</v>
      </c>
      <c r="P11" t="s">
        <v>29</v>
      </c>
      <c r="Q11" t="s">
        <v>13</v>
      </c>
      <c r="R11">
        <f>VLOOKUP(P11&amp;Q11,$Z$7:$AC$20,4,0)</f>
        <v>0.2</v>
      </c>
      <c r="S11">
        <f t="shared" si="1"/>
        <v>2</v>
      </c>
      <c r="T11">
        <f t="shared" si="2"/>
        <v>0.4</v>
      </c>
      <c r="W11" s="2" t="s">
        <v>13</v>
      </c>
      <c r="X11" s="2">
        <f t="shared" si="0"/>
        <v>1</v>
      </c>
      <c r="Z11" s="2" t="str">
        <f t="shared" si="3"/>
        <v>Doc1vegetables</v>
      </c>
      <c r="AA11" s="2" t="s">
        <v>13</v>
      </c>
      <c r="AB11" s="2">
        <f t="shared" si="4"/>
        <v>1</v>
      </c>
      <c r="AC11" s="2">
        <f t="shared" si="5"/>
        <v>0.2</v>
      </c>
      <c r="AD11" s="5"/>
      <c r="AE11" s="5"/>
      <c r="AF11" s="2" t="str">
        <f t="shared" si="6"/>
        <v>Doc2vegetables</v>
      </c>
      <c r="AG11" s="2" t="s">
        <v>13</v>
      </c>
      <c r="AH11" s="2">
        <f t="shared" si="7"/>
        <v>0</v>
      </c>
      <c r="AI11" s="2">
        <f t="shared" si="8"/>
        <v>0</v>
      </c>
      <c r="AJ11" s="5"/>
      <c r="AK11" s="5"/>
      <c r="AL11" s="5"/>
      <c r="AM11" s="2" t="str">
        <f t="shared" si="9"/>
        <v>Doc3vegetables</v>
      </c>
      <c r="AN11" s="2" t="s">
        <v>13</v>
      </c>
      <c r="AO11" s="2">
        <f t="shared" si="10"/>
        <v>0</v>
      </c>
      <c r="AP11" s="2">
        <f t="shared" si="11"/>
        <v>0</v>
      </c>
      <c r="AQ11" s="5"/>
      <c r="AR11" s="5"/>
      <c r="AS11" s="2" t="str">
        <f t="shared" si="12"/>
        <v>Doc4vegetables</v>
      </c>
      <c r="AT11" s="2" t="s">
        <v>13</v>
      </c>
      <c r="AU11" s="2">
        <f t="shared" si="13"/>
        <v>0</v>
      </c>
      <c r="AV11" s="2">
        <f t="shared" si="14"/>
        <v>0</v>
      </c>
      <c r="AX11" s="2" t="s">
        <v>29</v>
      </c>
      <c r="AY11" s="2" t="s">
        <v>13</v>
      </c>
    </row>
    <row r="12" spans="2:51" x14ac:dyDescent="0.25">
      <c r="P12" t="s">
        <v>30</v>
      </c>
      <c r="Q12" t="s">
        <v>7</v>
      </c>
      <c r="R12">
        <f>VLOOKUP(P12&amp;Q12,$AF$7:$AI$20,4,0)</f>
        <v>0.33333333333333331</v>
      </c>
      <c r="S12">
        <f t="shared" si="1"/>
        <v>0.4150374992788437</v>
      </c>
      <c r="T12">
        <f t="shared" si="2"/>
        <v>0.1383458330929479</v>
      </c>
      <c r="W12" s="2" t="s">
        <v>8</v>
      </c>
      <c r="X12" s="2">
        <f t="shared" si="0"/>
        <v>1</v>
      </c>
      <c r="Z12" s="2" t="str">
        <f t="shared" si="3"/>
        <v>Doc1are</v>
      </c>
      <c r="AA12" s="2" t="s">
        <v>8</v>
      </c>
      <c r="AB12" s="2">
        <f t="shared" si="4"/>
        <v>0</v>
      </c>
      <c r="AC12" s="2">
        <f t="shared" si="5"/>
        <v>0</v>
      </c>
      <c r="AD12" s="5"/>
      <c r="AE12" s="5"/>
      <c r="AF12" s="2" t="str">
        <f t="shared" si="6"/>
        <v>Doc2are</v>
      </c>
      <c r="AG12" s="2" t="s">
        <v>8</v>
      </c>
      <c r="AH12" s="2">
        <f t="shared" si="7"/>
        <v>1</v>
      </c>
      <c r="AI12" s="2">
        <f t="shared" si="8"/>
        <v>0.33333333333333331</v>
      </c>
      <c r="AJ12" s="5"/>
      <c r="AK12" s="5"/>
      <c r="AL12" s="5"/>
      <c r="AM12" s="2" t="str">
        <f t="shared" si="9"/>
        <v>Doc3are</v>
      </c>
      <c r="AN12" s="2" t="s">
        <v>8</v>
      </c>
      <c r="AO12" s="2">
        <f t="shared" si="10"/>
        <v>0</v>
      </c>
      <c r="AP12" s="2">
        <f t="shared" si="11"/>
        <v>0</v>
      </c>
      <c r="AQ12" s="5"/>
      <c r="AR12" s="5"/>
      <c r="AS12" s="2" t="str">
        <f t="shared" si="12"/>
        <v>Doc4are</v>
      </c>
      <c r="AT12" s="2" t="s">
        <v>8</v>
      </c>
      <c r="AU12" s="2">
        <f t="shared" si="13"/>
        <v>0</v>
      </c>
      <c r="AV12" s="2">
        <f t="shared" si="14"/>
        <v>0</v>
      </c>
      <c r="AX12" s="2" t="s">
        <v>30</v>
      </c>
      <c r="AY12" s="2" t="s">
        <v>7</v>
      </c>
    </row>
    <row r="13" spans="2:51" x14ac:dyDescent="0.25">
      <c r="P13" t="s">
        <v>30</v>
      </c>
      <c r="Q13" t="s">
        <v>8</v>
      </c>
      <c r="R13">
        <f>VLOOKUP(P13&amp;Q13,$AF$7:$AI$20,4,0)</f>
        <v>0.33333333333333331</v>
      </c>
      <c r="S13">
        <f t="shared" si="1"/>
        <v>2</v>
      </c>
      <c r="T13">
        <f t="shared" si="2"/>
        <v>0.66666666666666663</v>
      </c>
      <c r="W13" s="2" t="s">
        <v>12</v>
      </c>
      <c r="X13" s="2">
        <f t="shared" si="0"/>
        <v>1</v>
      </c>
      <c r="Z13" s="2" t="str">
        <f t="shared" si="3"/>
        <v>Doc1pets</v>
      </c>
      <c r="AA13" s="2" t="s">
        <v>12</v>
      </c>
      <c r="AB13" s="2">
        <f t="shared" si="4"/>
        <v>0</v>
      </c>
      <c r="AC13" s="2">
        <f t="shared" si="5"/>
        <v>0</v>
      </c>
      <c r="AD13" s="5"/>
      <c r="AE13" s="5"/>
      <c r="AF13" s="2" t="str">
        <f t="shared" si="6"/>
        <v>Doc2pets</v>
      </c>
      <c r="AG13" s="2" t="s">
        <v>12</v>
      </c>
      <c r="AH13" s="2">
        <f t="shared" si="7"/>
        <v>1</v>
      </c>
      <c r="AI13" s="2">
        <f t="shared" si="8"/>
        <v>0.33333333333333331</v>
      </c>
      <c r="AJ13" s="5"/>
      <c r="AK13" s="5"/>
      <c r="AL13" s="5"/>
      <c r="AM13" s="2" t="str">
        <f t="shared" si="9"/>
        <v>Doc3pets</v>
      </c>
      <c r="AN13" s="2" t="s">
        <v>12</v>
      </c>
      <c r="AO13" s="2">
        <f t="shared" si="10"/>
        <v>0</v>
      </c>
      <c r="AP13" s="2">
        <f t="shared" si="11"/>
        <v>0</v>
      </c>
      <c r="AQ13" s="5"/>
      <c r="AR13" s="5"/>
      <c r="AS13" s="2" t="str">
        <f t="shared" si="12"/>
        <v>Doc4pets</v>
      </c>
      <c r="AT13" s="2" t="s">
        <v>12</v>
      </c>
      <c r="AU13" s="2">
        <f t="shared" si="13"/>
        <v>0</v>
      </c>
      <c r="AV13" s="2">
        <f t="shared" si="14"/>
        <v>0</v>
      </c>
      <c r="AX13" s="2" t="s">
        <v>30</v>
      </c>
      <c r="AY13" s="2" t="s">
        <v>8</v>
      </c>
    </row>
    <row r="14" spans="2:51" x14ac:dyDescent="0.25">
      <c r="P14" t="s">
        <v>30</v>
      </c>
      <c r="Q14" t="s">
        <v>12</v>
      </c>
      <c r="R14">
        <f>VLOOKUP(P14&amp;Q14,$AF$7:$AI$20,4,0)</f>
        <v>0.33333333333333331</v>
      </c>
      <c r="S14">
        <f t="shared" si="1"/>
        <v>2</v>
      </c>
      <c r="T14">
        <f t="shared" si="2"/>
        <v>0.66666666666666663</v>
      </c>
      <c r="W14" s="2" t="s">
        <v>9</v>
      </c>
      <c r="X14" s="2">
        <f t="shared" si="0"/>
        <v>1</v>
      </c>
      <c r="Z14" s="2" t="str">
        <f t="shared" si="3"/>
        <v>Doc1My</v>
      </c>
      <c r="AA14" s="2" t="s">
        <v>9</v>
      </c>
      <c r="AB14" s="2">
        <f t="shared" si="4"/>
        <v>0</v>
      </c>
      <c r="AC14" s="2">
        <f t="shared" si="5"/>
        <v>0</v>
      </c>
      <c r="AD14" s="5"/>
      <c r="AE14" s="5"/>
      <c r="AF14" s="2" t="str">
        <f t="shared" si="6"/>
        <v>Doc2My</v>
      </c>
      <c r="AG14" s="2" t="s">
        <v>9</v>
      </c>
      <c r="AH14" s="2">
        <f t="shared" si="7"/>
        <v>0</v>
      </c>
      <c r="AI14" s="2">
        <f t="shared" si="8"/>
        <v>0</v>
      </c>
      <c r="AJ14" s="5"/>
      <c r="AK14" s="5"/>
      <c r="AL14" s="5"/>
      <c r="AM14" s="2" t="str">
        <f t="shared" si="9"/>
        <v>Doc3My</v>
      </c>
      <c r="AN14" s="2" t="s">
        <v>9</v>
      </c>
      <c r="AO14" s="2">
        <f t="shared" si="10"/>
        <v>1</v>
      </c>
      <c r="AP14" s="2">
        <f t="shared" si="11"/>
        <v>0.25</v>
      </c>
      <c r="AQ14" s="5"/>
      <c r="AR14" s="5"/>
      <c r="AS14" s="2" t="str">
        <f t="shared" si="12"/>
        <v>Doc4My</v>
      </c>
      <c r="AT14" s="2" t="s">
        <v>9</v>
      </c>
      <c r="AU14" s="2">
        <f t="shared" si="13"/>
        <v>0</v>
      </c>
      <c r="AV14" s="2">
        <f t="shared" si="14"/>
        <v>0</v>
      </c>
      <c r="AX14" s="2" t="s">
        <v>30</v>
      </c>
      <c r="AY14" s="2" t="s">
        <v>12</v>
      </c>
    </row>
    <row r="15" spans="2:51" x14ac:dyDescent="0.25">
      <c r="P15" t="s">
        <v>31</v>
      </c>
      <c r="Q15" t="s">
        <v>9</v>
      </c>
      <c r="R15">
        <f>VLOOKUP(P15&amp;Q15,$AM$7:$AP$20,4,0)</f>
        <v>0.25</v>
      </c>
      <c r="S15">
        <f t="shared" si="1"/>
        <v>2</v>
      </c>
      <c r="T15">
        <f t="shared" si="2"/>
        <v>0.5</v>
      </c>
      <c r="W15" s="2" t="s">
        <v>10</v>
      </c>
      <c r="X15" s="2">
        <f t="shared" si="0"/>
        <v>2</v>
      </c>
      <c r="Z15" s="2" t="str">
        <f t="shared" si="3"/>
        <v>Doc1kitten</v>
      </c>
      <c r="AA15" s="2" t="s">
        <v>10</v>
      </c>
      <c r="AB15" s="2">
        <f t="shared" si="4"/>
        <v>0</v>
      </c>
      <c r="AC15" s="2">
        <f t="shared" si="5"/>
        <v>0</v>
      </c>
      <c r="AD15" s="5"/>
      <c r="AE15" s="5"/>
      <c r="AF15" s="2" t="str">
        <f t="shared" si="6"/>
        <v>Doc2kitten</v>
      </c>
      <c r="AG15" s="2" t="s">
        <v>10</v>
      </c>
      <c r="AH15" s="2">
        <f t="shared" si="7"/>
        <v>0</v>
      </c>
      <c r="AI15" s="2">
        <f t="shared" si="8"/>
        <v>0</v>
      </c>
      <c r="AJ15" s="5"/>
      <c r="AK15" s="5"/>
      <c r="AL15" s="5"/>
      <c r="AM15" s="2" t="str">
        <f t="shared" si="9"/>
        <v>Doc3kitten</v>
      </c>
      <c r="AN15" s="2" t="s">
        <v>10</v>
      </c>
      <c r="AO15" s="2">
        <f t="shared" si="10"/>
        <v>1</v>
      </c>
      <c r="AP15" s="2">
        <f t="shared" si="11"/>
        <v>0.25</v>
      </c>
      <c r="AQ15" s="5"/>
      <c r="AR15" s="5"/>
      <c r="AS15" s="2" t="str">
        <f t="shared" si="12"/>
        <v>Doc4kitten</v>
      </c>
      <c r="AT15" s="2" t="s">
        <v>10</v>
      </c>
      <c r="AU15" s="2">
        <f t="shared" si="13"/>
        <v>1</v>
      </c>
      <c r="AV15" s="2">
        <f t="shared" si="14"/>
        <v>0.2</v>
      </c>
      <c r="AX15" s="2" t="s">
        <v>31</v>
      </c>
      <c r="AY15" s="2" t="s">
        <v>9</v>
      </c>
    </row>
    <row r="16" spans="2:51" x14ac:dyDescent="0.25">
      <c r="P16" t="s">
        <v>31</v>
      </c>
      <c r="Q16" t="s">
        <v>10</v>
      </c>
      <c r="R16">
        <f>VLOOKUP(P16&amp;Q16,$AM$7:$AP$20,4,0)</f>
        <v>0.25</v>
      </c>
      <c r="S16">
        <f t="shared" si="1"/>
        <v>1</v>
      </c>
      <c r="T16">
        <f t="shared" si="2"/>
        <v>0.25</v>
      </c>
      <c r="W16" s="2" t="s">
        <v>11</v>
      </c>
      <c r="X16" s="2">
        <f t="shared" si="0"/>
        <v>1</v>
      </c>
      <c r="Z16" s="2" t="str">
        <f t="shared" si="3"/>
        <v>Doc1eats</v>
      </c>
      <c r="AA16" s="2" t="s">
        <v>11</v>
      </c>
      <c r="AB16" s="2">
        <f t="shared" si="4"/>
        <v>0</v>
      </c>
      <c r="AC16" s="2">
        <f t="shared" si="5"/>
        <v>0</v>
      </c>
      <c r="AD16" s="5"/>
      <c r="AE16" s="5"/>
      <c r="AF16" s="2" t="str">
        <f t="shared" si="6"/>
        <v>Doc2eats</v>
      </c>
      <c r="AG16" s="2" t="s">
        <v>11</v>
      </c>
      <c r="AH16" s="2">
        <f t="shared" si="7"/>
        <v>0</v>
      </c>
      <c r="AI16" s="2">
        <f t="shared" si="8"/>
        <v>0</v>
      </c>
      <c r="AJ16" s="5"/>
      <c r="AK16" s="5"/>
      <c r="AL16" s="5"/>
      <c r="AM16" s="2" t="str">
        <f t="shared" si="9"/>
        <v>Doc3eats</v>
      </c>
      <c r="AN16" s="2" t="s">
        <v>11</v>
      </c>
      <c r="AO16" s="2">
        <f t="shared" si="10"/>
        <v>1</v>
      </c>
      <c r="AP16" s="2">
        <f t="shared" si="11"/>
        <v>0.25</v>
      </c>
      <c r="AQ16" s="5"/>
      <c r="AR16" s="5"/>
      <c r="AS16" s="2" t="str">
        <f t="shared" si="12"/>
        <v>Doc4eats</v>
      </c>
      <c r="AT16" s="2" t="s">
        <v>11</v>
      </c>
      <c r="AU16" s="2">
        <f t="shared" si="13"/>
        <v>0</v>
      </c>
      <c r="AV16" s="2">
        <f t="shared" si="14"/>
        <v>0</v>
      </c>
      <c r="AX16" s="2" t="s">
        <v>31</v>
      </c>
      <c r="AY16" s="2" t="s">
        <v>10</v>
      </c>
    </row>
    <row r="17" spans="16:51" x14ac:dyDescent="0.25">
      <c r="P17" t="s">
        <v>31</v>
      </c>
      <c r="Q17" t="s">
        <v>11</v>
      </c>
      <c r="R17">
        <f>VLOOKUP(P17&amp;Q17,$AM$7:$AP$20,4,0)</f>
        <v>0.25</v>
      </c>
      <c r="S17">
        <f t="shared" si="1"/>
        <v>2</v>
      </c>
      <c r="T17">
        <f t="shared" si="2"/>
        <v>0.5</v>
      </c>
      <c r="W17" s="2" t="s">
        <v>21</v>
      </c>
      <c r="X17" s="2">
        <f t="shared" si="0"/>
        <v>1</v>
      </c>
      <c r="Z17" s="2" t="str">
        <f t="shared" si="3"/>
        <v>Doc1is</v>
      </c>
      <c r="AA17" s="2" t="s">
        <v>21</v>
      </c>
      <c r="AB17" s="2">
        <f t="shared" si="4"/>
        <v>0</v>
      </c>
      <c r="AC17" s="2">
        <f t="shared" si="5"/>
        <v>0</v>
      </c>
      <c r="AD17" s="5"/>
      <c r="AE17" s="5"/>
      <c r="AF17" s="2" t="str">
        <f t="shared" si="6"/>
        <v>Doc2is</v>
      </c>
      <c r="AG17" s="2" t="s">
        <v>21</v>
      </c>
      <c r="AH17" s="2">
        <f t="shared" si="7"/>
        <v>0</v>
      </c>
      <c r="AI17" s="2">
        <f t="shared" si="8"/>
        <v>0</v>
      </c>
      <c r="AJ17" s="5"/>
      <c r="AK17" s="5"/>
      <c r="AL17" s="5"/>
      <c r="AM17" s="2" t="str">
        <f t="shared" si="9"/>
        <v>Doc3is</v>
      </c>
      <c r="AN17" s="2" t="s">
        <v>21</v>
      </c>
      <c r="AO17" s="2">
        <f t="shared" si="10"/>
        <v>0</v>
      </c>
      <c r="AP17" s="2">
        <f t="shared" si="11"/>
        <v>0</v>
      </c>
      <c r="AQ17" s="5"/>
      <c r="AR17" s="5"/>
      <c r="AS17" s="2" t="str">
        <f t="shared" si="12"/>
        <v>Doc4is</v>
      </c>
      <c r="AT17" s="2" t="s">
        <v>21</v>
      </c>
      <c r="AU17" s="2">
        <f t="shared" si="13"/>
        <v>1</v>
      </c>
      <c r="AV17" s="2">
        <f t="shared" si="14"/>
        <v>0.2</v>
      </c>
      <c r="AX17" s="2" t="s">
        <v>31</v>
      </c>
      <c r="AY17" s="2" t="s">
        <v>11</v>
      </c>
    </row>
    <row r="18" spans="16:51" x14ac:dyDescent="0.25">
      <c r="P18" t="s">
        <v>31</v>
      </c>
      <c r="Q18" t="s">
        <v>5</v>
      </c>
      <c r="R18">
        <f>VLOOKUP(P18&amp;Q18,$AM$7:$AP$20,4,0)</f>
        <v>0.25</v>
      </c>
      <c r="S18">
        <f t="shared" si="1"/>
        <v>0.4150374992788437</v>
      </c>
      <c r="T18">
        <f t="shared" si="2"/>
        <v>0.10375937481971093</v>
      </c>
      <c r="W18" s="2" t="s">
        <v>22</v>
      </c>
      <c r="X18" s="2">
        <f t="shared" si="0"/>
        <v>1</v>
      </c>
      <c r="Z18" s="2" t="str">
        <f t="shared" si="3"/>
        <v>Doc1a</v>
      </c>
      <c r="AA18" s="2" t="s">
        <v>22</v>
      </c>
      <c r="AB18" s="2">
        <f t="shared" si="4"/>
        <v>0</v>
      </c>
      <c r="AC18" s="2">
        <f t="shared" si="5"/>
        <v>0</v>
      </c>
      <c r="AD18" s="5"/>
      <c r="AE18" s="5"/>
      <c r="AF18" s="2" t="str">
        <f t="shared" si="6"/>
        <v>Doc2a</v>
      </c>
      <c r="AG18" s="2" t="s">
        <v>22</v>
      </c>
      <c r="AH18" s="2">
        <f t="shared" si="7"/>
        <v>0</v>
      </c>
      <c r="AI18" s="2">
        <f t="shared" si="8"/>
        <v>0</v>
      </c>
      <c r="AJ18" s="5"/>
      <c r="AK18" s="5"/>
      <c r="AL18" s="5"/>
      <c r="AM18" s="2" t="str">
        <f t="shared" si="9"/>
        <v>Doc3a</v>
      </c>
      <c r="AN18" s="2" t="s">
        <v>22</v>
      </c>
      <c r="AO18" s="2">
        <f t="shared" si="10"/>
        <v>0</v>
      </c>
      <c r="AP18" s="2">
        <f t="shared" si="11"/>
        <v>0</v>
      </c>
      <c r="AQ18" s="5"/>
      <c r="AR18" s="5"/>
      <c r="AS18" s="2" t="str">
        <f t="shared" si="12"/>
        <v>Doc4a</v>
      </c>
      <c r="AT18" s="2" t="s">
        <v>22</v>
      </c>
      <c r="AU18" s="2">
        <f t="shared" si="13"/>
        <v>1</v>
      </c>
      <c r="AV18" s="2">
        <f t="shared" si="14"/>
        <v>0.2</v>
      </c>
      <c r="AX18" s="2" t="s">
        <v>31</v>
      </c>
      <c r="AY18" s="2" t="s">
        <v>5</v>
      </c>
    </row>
    <row r="19" spans="16:51" x14ac:dyDescent="0.25">
      <c r="P19" t="s">
        <v>32</v>
      </c>
      <c r="Q19" t="s">
        <v>20</v>
      </c>
      <c r="R19">
        <f>VLOOKUP(P19&amp;Q19,$AS$7:$AV$20,4,0)</f>
        <v>0.2</v>
      </c>
      <c r="S19">
        <f t="shared" si="1"/>
        <v>1</v>
      </c>
      <c r="T19">
        <f t="shared" si="2"/>
        <v>0.2</v>
      </c>
      <c r="W19" s="2" t="s">
        <v>23</v>
      </c>
      <c r="X19" s="2">
        <f t="shared" si="0"/>
        <v>1</v>
      </c>
      <c r="Z19" s="2" t="str">
        <f t="shared" si="3"/>
        <v>Doc1lovable</v>
      </c>
      <c r="AA19" s="2" t="s">
        <v>23</v>
      </c>
      <c r="AB19" s="2">
        <f t="shared" si="4"/>
        <v>0</v>
      </c>
      <c r="AC19" s="2">
        <f t="shared" si="5"/>
        <v>0</v>
      </c>
      <c r="AD19" s="5"/>
      <c r="AE19" s="5"/>
      <c r="AF19" s="2" t="str">
        <f t="shared" si="6"/>
        <v>Doc2lovable</v>
      </c>
      <c r="AG19" s="2" t="s">
        <v>23</v>
      </c>
      <c r="AH19" s="2">
        <f t="shared" si="7"/>
        <v>0</v>
      </c>
      <c r="AI19" s="2">
        <f t="shared" si="8"/>
        <v>0</v>
      </c>
      <c r="AJ19" s="5"/>
      <c r="AK19" s="5"/>
      <c r="AL19" s="5"/>
      <c r="AM19" s="2" t="str">
        <f t="shared" si="9"/>
        <v>Doc3lovable</v>
      </c>
      <c r="AN19" s="2" t="s">
        <v>23</v>
      </c>
      <c r="AO19" s="2">
        <f t="shared" si="10"/>
        <v>0</v>
      </c>
      <c r="AP19" s="2">
        <f t="shared" si="11"/>
        <v>0</v>
      </c>
      <c r="AQ19" s="5"/>
      <c r="AR19" s="5"/>
      <c r="AS19" s="2" t="str">
        <f t="shared" si="12"/>
        <v>Doc4lovable</v>
      </c>
      <c r="AT19" s="2" t="s">
        <v>23</v>
      </c>
      <c r="AU19" s="2">
        <f t="shared" si="13"/>
        <v>1</v>
      </c>
      <c r="AV19" s="2">
        <f t="shared" si="14"/>
        <v>0.2</v>
      </c>
      <c r="AX19" s="2" t="s">
        <v>32</v>
      </c>
      <c r="AY19" s="2" t="s">
        <v>20</v>
      </c>
    </row>
    <row r="20" spans="16:51" x14ac:dyDescent="0.25">
      <c r="P20" t="s">
        <v>32</v>
      </c>
      <c r="Q20" t="s">
        <v>21</v>
      </c>
      <c r="R20">
        <f>VLOOKUP(P20&amp;Q20,$AS$7:$AV$20,4,0)</f>
        <v>0.2</v>
      </c>
      <c r="S20">
        <f t="shared" si="1"/>
        <v>2</v>
      </c>
      <c r="T20">
        <f t="shared" si="2"/>
        <v>0.4</v>
      </c>
      <c r="W20" s="2" t="s">
        <v>24</v>
      </c>
      <c r="X20" s="2">
        <f t="shared" si="0"/>
        <v>1</v>
      </c>
      <c r="Z20" s="2" t="str">
        <f t="shared" si="3"/>
        <v>Doc1pet</v>
      </c>
      <c r="AA20" s="2" t="s">
        <v>24</v>
      </c>
      <c r="AB20" s="2">
        <f t="shared" si="4"/>
        <v>0</v>
      </c>
      <c r="AC20" s="2">
        <f t="shared" si="5"/>
        <v>0</v>
      </c>
      <c r="AD20" s="5"/>
      <c r="AE20" s="5"/>
      <c r="AF20" s="2" t="str">
        <f t="shared" si="6"/>
        <v>Doc2pet</v>
      </c>
      <c r="AG20" s="2" t="s">
        <v>24</v>
      </c>
      <c r="AH20" s="2">
        <f t="shared" si="7"/>
        <v>0</v>
      </c>
      <c r="AI20" s="2">
        <f t="shared" si="8"/>
        <v>0</v>
      </c>
      <c r="AJ20" s="5"/>
      <c r="AK20" s="5"/>
      <c r="AL20" s="5"/>
      <c r="AM20" s="2" t="str">
        <f t="shared" si="9"/>
        <v>Doc3pet</v>
      </c>
      <c r="AN20" s="2" t="s">
        <v>24</v>
      </c>
      <c r="AO20" s="2">
        <f t="shared" si="10"/>
        <v>0</v>
      </c>
      <c r="AP20" s="2">
        <f t="shared" si="11"/>
        <v>0</v>
      </c>
      <c r="AQ20" s="5"/>
      <c r="AR20" s="5"/>
      <c r="AS20" s="2" t="str">
        <f t="shared" si="12"/>
        <v>Doc4pet</v>
      </c>
      <c r="AT20" s="2" t="s">
        <v>24</v>
      </c>
      <c r="AU20" s="2">
        <f t="shared" si="13"/>
        <v>1</v>
      </c>
      <c r="AV20" s="2">
        <f t="shared" si="14"/>
        <v>0.2</v>
      </c>
      <c r="AX20" s="2" t="s">
        <v>32</v>
      </c>
      <c r="AY20" s="2" t="s">
        <v>21</v>
      </c>
    </row>
    <row r="21" spans="16:51" x14ac:dyDescent="0.25">
      <c r="P21" t="s">
        <v>32</v>
      </c>
      <c r="Q21" t="s">
        <v>22</v>
      </c>
      <c r="R21">
        <f>VLOOKUP(P21&amp;Q21,$AS$7:$AV$20,4,0)</f>
        <v>0.2</v>
      </c>
      <c r="S21">
        <f t="shared" si="1"/>
        <v>2</v>
      </c>
      <c r="T21">
        <f t="shared" si="2"/>
        <v>0.4</v>
      </c>
      <c r="W21" s="6" t="s">
        <v>36</v>
      </c>
      <c r="X21" s="6">
        <f>SUM(X7:X20)</f>
        <v>17</v>
      </c>
      <c r="Z21" s="2" t="str">
        <f t="shared" si="3"/>
        <v>Doc1Total words</v>
      </c>
      <c r="AA21" s="6" t="s">
        <v>36</v>
      </c>
      <c r="AB21" s="6">
        <f>SUM(AB7:AB20)</f>
        <v>5</v>
      </c>
      <c r="AF21" s="2" t="str">
        <f t="shared" si="6"/>
        <v>Doc2Total words</v>
      </c>
      <c r="AG21" s="6" t="s">
        <v>36</v>
      </c>
      <c r="AH21" s="6">
        <f>SUM(AH7:AH20)</f>
        <v>3</v>
      </c>
      <c r="AI21" s="7"/>
      <c r="AJ21" s="7"/>
      <c r="AK21" s="7"/>
      <c r="AL21" s="7"/>
      <c r="AM21" s="2" t="str">
        <f t="shared" si="9"/>
        <v>Doc3Total words</v>
      </c>
      <c r="AN21" s="6" t="s">
        <v>36</v>
      </c>
      <c r="AO21" s="6">
        <f>SUM(AO7:AO20)</f>
        <v>4</v>
      </c>
      <c r="AP21" s="7"/>
      <c r="AQ21" s="7"/>
      <c r="AR21" s="7"/>
      <c r="AS21" s="2" t="str">
        <f t="shared" si="12"/>
        <v>Doc4Total words</v>
      </c>
      <c r="AT21" s="6" t="s">
        <v>36</v>
      </c>
      <c r="AU21" s="6">
        <f>SUM(AU7:AU20)</f>
        <v>5</v>
      </c>
      <c r="AX21" s="2" t="s">
        <v>32</v>
      </c>
      <c r="AY21" s="2" t="s">
        <v>22</v>
      </c>
    </row>
    <row r="22" spans="16:51" x14ac:dyDescent="0.25">
      <c r="P22" t="s">
        <v>32</v>
      </c>
      <c r="Q22" t="s">
        <v>23</v>
      </c>
      <c r="R22">
        <f>VLOOKUP(P22&amp;Q22,$AS$7:$AV$20,4,0)</f>
        <v>0.2</v>
      </c>
      <c r="S22">
        <f t="shared" si="1"/>
        <v>2</v>
      </c>
      <c r="T22">
        <f t="shared" si="2"/>
        <v>0.4</v>
      </c>
      <c r="AX22" s="2" t="s">
        <v>32</v>
      </c>
      <c r="AY22" s="2" t="s">
        <v>23</v>
      </c>
    </row>
    <row r="23" spans="16:51" x14ac:dyDescent="0.25">
      <c r="P23" t="s">
        <v>32</v>
      </c>
      <c r="Q23" t="s">
        <v>24</v>
      </c>
      <c r="R23">
        <f>VLOOKUP(P23&amp;Q23,$AS$7:$AV$20,4,0)</f>
        <v>0.2</v>
      </c>
      <c r="S23">
        <f t="shared" si="1"/>
        <v>2</v>
      </c>
      <c r="T23">
        <f t="shared" si="2"/>
        <v>0.4</v>
      </c>
      <c r="AX23" s="2" t="s">
        <v>32</v>
      </c>
      <c r="AY23" s="2" t="s">
        <v>24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H16" sqref="H16"/>
    </sheetView>
  </sheetViews>
  <sheetFormatPr defaultRowHeight="15" x14ac:dyDescent="0.25"/>
  <sheetData>
    <row r="1" spans="1:1" x14ac:dyDescent="0.25">
      <c r="A1" t="s">
        <v>41</v>
      </c>
    </row>
    <row r="2" spans="1:1" x14ac:dyDescent="0.25">
      <c r="A2" t="s">
        <v>43</v>
      </c>
    </row>
    <row r="3" spans="1:1" x14ac:dyDescent="0.25">
      <c r="A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TF_IDF</vt:lpstr>
      <vt:lpstr>Sheet1</vt:lpstr>
    </vt:vector>
  </TitlesOfParts>
  <Company>BT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Sarkar,S,Saptarshi,TAB C</dc:creator>
  <cp:lastModifiedBy>laptop</cp:lastModifiedBy>
  <dcterms:created xsi:type="dcterms:W3CDTF">2018-08-30T10:38:57Z</dcterms:created>
  <dcterms:modified xsi:type="dcterms:W3CDTF">2020-03-03T05:57:21Z</dcterms:modified>
</cp:coreProperties>
</file>