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gsom29\Dropbox\iitkgp faculty\Courses\marketing analytics nptel\Sessions\Week5\Session 4\"/>
    </mc:Choice>
  </mc:AlternateContent>
  <bookViews>
    <workbookView xWindow="0" yWindow="0" windowWidth="24000" windowHeight="9132" activeTab="1"/>
  </bookViews>
  <sheets>
    <sheet name="order 400" sheetId="1" r:id="rId1"/>
    <sheet name="how many" sheetId="4" r:id="rId2"/>
    <sheet name="Sheet2" sheetId="2" r:id="rId3"/>
    <sheet name="Sheet3" sheetId="3" r:id="rId4"/>
  </sheets>
  <definedNames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cost" localSheetId="1">'how many'!$E$3</definedName>
    <definedName name="cost">'order 400'!$E$3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0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50000</definedName>
    <definedName name="RiskNumSimulations" hidden="1">11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TRUE</definedName>
    <definedName name="RiskUseDifferentSeedForEachSim" hidden="1">FALSE</definedName>
    <definedName name="RiskUseFixedSeed" hidden="1">FALSE</definedName>
    <definedName name="RiskUseMultipleCPUs" hidden="1">TRUE</definedName>
    <definedName name="solver_adj" localSheetId="1" hidden="1">'how many'!$E$8:$G$8</definedName>
    <definedName name="solver_adj" localSheetId="0" hidden="1">'order 400'!$E$8:$G$8</definedName>
    <definedName name="solver_cvg" localSheetId="1" hidden="1">0.0001</definedName>
    <definedName name="solver_cvg" localSheetId="0" hidden="1">0.0001</definedName>
    <definedName name="solver_drv" localSheetId="1" hidden="1">2</definedName>
    <definedName name="solver_drv" localSheetId="0" hidden="1">2</definedName>
    <definedName name="solver_eng" localSheetId="1" hidden="1">1</definedName>
    <definedName name="solver_eng" localSheetId="0" hidden="1">1</definedName>
    <definedName name="solver_est" localSheetId="1" hidden="1">1</definedName>
    <definedName name="solver_est" localSheetId="0" hidden="1">1</definedName>
    <definedName name="solver_itr" localSheetId="1" hidden="1">2147483647</definedName>
    <definedName name="solver_itr" localSheetId="0" hidden="1">2147483647</definedName>
    <definedName name="solver_lhs1" localSheetId="1" hidden="1">'how many'!$I$8</definedName>
    <definedName name="solver_lhs1" localSheetId="0" hidden="1">'order 400'!$I$8</definedName>
    <definedName name="solver_mip" localSheetId="1" hidden="1">2147483647</definedName>
    <definedName name="solver_mip" localSheetId="0" hidden="1">2147483647</definedName>
    <definedName name="solver_mni" localSheetId="1" hidden="1">30</definedName>
    <definedName name="solver_mni" localSheetId="0" hidden="1">30</definedName>
    <definedName name="solver_mrt" localSheetId="1" hidden="1">0.075</definedName>
    <definedName name="solver_mrt" localSheetId="0" hidden="1">0.075</definedName>
    <definedName name="solver_msl" localSheetId="1" hidden="1">2</definedName>
    <definedName name="solver_msl" localSheetId="0" hidden="1">2</definedName>
    <definedName name="solver_neg" localSheetId="1" hidden="1">1</definedName>
    <definedName name="solver_neg" localSheetId="0" hidden="1">1</definedName>
    <definedName name="solver_nod" localSheetId="1" hidden="1">2147483647</definedName>
    <definedName name="solver_nod" localSheetId="0" hidden="1">2147483647</definedName>
    <definedName name="solver_num" localSheetId="1" hidden="1">0</definedName>
    <definedName name="solver_num" localSheetId="0" hidden="1">1</definedName>
    <definedName name="solver_nwt" localSheetId="1" hidden="1">1</definedName>
    <definedName name="solver_nwt" localSheetId="0" hidden="1">1</definedName>
    <definedName name="solver_opt" localSheetId="1" hidden="1">'how many'!$E$13</definedName>
    <definedName name="solver_opt" localSheetId="0" hidden="1">'order 400'!$E$13</definedName>
    <definedName name="solver_pre" localSheetId="1" hidden="1">0.000001</definedName>
    <definedName name="solver_pre" localSheetId="0" hidden="1">0.000001</definedName>
    <definedName name="solver_rbv" localSheetId="1" hidden="1">2</definedName>
    <definedName name="solver_rbv" localSheetId="0" hidden="1">2</definedName>
    <definedName name="solver_rel1" localSheetId="1" hidden="1">2</definedName>
    <definedName name="solver_rel1" localSheetId="0" hidden="1">2</definedName>
    <definedName name="solver_rhs1" localSheetId="1" hidden="1">400</definedName>
    <definedName name="solver_rhs1" localSheetId="0" hidden="1">400</definedName>
    <definedName name="solver_rlx" localSheetId="1" hidden="1">2</definedName>
    <definedName name="solver_rlx" localSheetId="0" hidden="1">2</definedName>
    <definedName name="solver_rsd" localSheetId="1" hidden="1">0</definedName>
    <definedName name="solver_rsd" localSheetId="0" hidden="1">0</definedName>
    <definedName name="solver_scl" localSheetId="1" hidden="1">2</definedName>
    <definedName name="solver_scl" localSheetId="0" hidden="1">2</definedName>
    <definedName name="solver_sho" localSheetId="1" hidden="1">2</definedName>
    <definedName name="solver_sho" localSheetId="0" hidden="1">2</definedName>
    <definedName name="solver_ssz" localSheetId="1" hidden="1">100</definedName>
    <definedName name="solver_ssz" localSheetId="0" hidden="1">100</definedName>
    <definedName name="solver_tim" localSheetId="1" hidden="1">2147483647</definedName>
    <definedName name="solver_tim" localSheetId="0" hidden="1">2147483647</definedName>
    <definedName name="solver_tol" localSheetId="1" hidden="1">0.01</definedName>
    <definedName name="solver_tol" localSheetId="0" hidden="1">0.01</definedName>
    <definedName name="solver_typ" localSheetId="1" hidden="1">1</definedName>
    <definedName name="solver_typ" localSheetId="0" hidden="1">1</definedName>
    <definedName name="solver_val" localSheetId="1" hidden="1">0</definedName>
    <definedName name="solver_val" localSheetId="0" hidden="1">0</definedName>
    <definedName name="solver_ver" localSheetId="1" hidden="1">3</definedName>
    <definedName name="solver_ver" localSheetId="0" hidden="1">3</definedName>
  </definedNames>
  <calcPr calcId="152511" iterate="1" iterateCount="1"/>
</workbook>
</file>

<file path=xl/calcChain.xml><?xml version="1.0" encoding="utf-8"?>
<calcChain xmlns="http://schemas.openxmlformats.org/spreadsheetml/2006/main">
  <c r="G9" i="4" l="1"/>
  <c r="G10" i="4" s="1"/>
  <c r="F9" i="4"/>
  <c r="F10" i="4" s="1"/>
  <c r="E9" i="4"/>
  <c r="E10" i="4" s="1"/>
  <c r="I8" i="4" l="1"/>
  <c r="E13" i="4"/>
  <c r="F9" i="1"/>
  <c r="F10" i="1" s="1"/>
  <c r="G9" i="1"/>
  <c r="G10" i="1" s="1"/>
  <c r="E9" i="1"/>
  <c r="E10" i="1" s="1"/>
  <c r="E13" i="1" l="1"/>
  <c r="I8" i="1"/>
</calcChain>
</file>

<file path=xl/sharedStrings.xml><?xml version="1.0" encoding="utf-8"?>
<sst xmlns="http://schemas.openxmlformats.org/spreadsheetml/2006/main" count="23" uniqueCount="18">
  <si>
    <t>Dynamic Pricing</t>
  </si>
  <si>
    <t xml:space="preserve">Month </t>
  </si>
  <si>
    <t>intercept</t>
  </si>
  <si>
    <t>slope</t>
  </si>
  <si>
    <t>price</t>
  </si>
  <si>
    <t>demand</t>
  </si>
  <si>
    <t>profit</t>
  </si>
  <si>
    <t>total profit</t>
  </si>
  <si>
    <t>total</t>
  </si>
  <si>
    <t>Markdown Pricing</t>
  </si>
  <si>
    <t>total sold</t>
  </si>
  <si>
    <t>&lt;=</t>
  </si>
  <si>
    <t>available</t>
  </si>
  <si>
    <t>revenue</t>
  </si>
  <si>
    <t>total revenue</t>
  </si>
  <si>
    <t>cost</t>
  </si>
  <si>
    <t>Maximize Profit</t>
  </si>
  <si>
    <t>Sell our 400 swimsuits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</si>
</sst>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2" borderId="0" xfId="0" applyNumberFormat="1" applyFont="1" applyFill="1"/>
    <xf numFmtId="164" fontId="1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L13"/>
  <sheetViews>
    <sheetView topLeftCell="C1" workbookViewId="0">
      <selection activeCell="E6" sqref="E6:G7"/>
    </sheetView>
  </sheetViews>
  <sheetFormatPr defaultRowHeight="14.4" x14ac:dyDescent="0.3"/>
  <cols>
    <col min="5" max="5" width="12.21875" bestFit="1" customWidth="1"/>
    <col min="6" max="7" width="12" bestFit="1" customWidth="1"/>
  </cols>
  <sheetData>
    <row r="1" spans="3:12" x14ac:dyDescent="0.3">
      <c r="C1" s="1"/>
      <c r="D1" s="1"/>
      <c r="E1" s="1"/>
      <c r="F1" s="1"/>
      <c r="G1" s="1"/>
      <c r="H1" s="1"/>
      <c r="I1" s="1"/>
      <c r="J1" s="1"/>
      <c r="K1" s="1"/>
      <c r="L1" s="1"/>
    </row>
    <row r="2" spans="3:12" x14ac:dyDescent="0.3">
      <c r="C2" s="1" t="s">
        <v>9</v>
      </c>
      <c r="D2" s="1"/>
      <c r="E2" s="1"/>
      <c r="F2" s="1"/>
      <c r="G2" s="1"/>
      <c r="H2" s="1"/>
      <c r="I2" s="1"/>
      <c r="J2" s="1"/>
      <c r="K2" s="1"/>
      <c r="L2" s="1"/>
    </row>
    <row r="3" spans="3:12" x14ac:dyDescent="0.3">
      <c r="C3" s="1" t="s">
        <v>17</v>
      </c>
      <c r="D3" s="1"/>
      <c r="E3" s="1"/>
      <c r="F3" s="1"/>
      <c r="G3" s="1"/>
      <c r="H3" s="1"/>
      <c r="I3" s="1"/>
      <c r="J3" s="1"/>
      <c r="K3" s="1"/>
      <c r="L3" s="1"/>
    </row>
    <row r="4" spans="3:12" x14ac:dyDescent="0.3">
      <c r="C4" s="1"/>
      <c r="D4" s="1"/>
      <c r="E4" s="1"/>
      <c r="F4" s="1"/>
      <c r="G4" s="1"/>
      <c r="H4" s="1"/>
      <c r="I4" s="1"/>
      <c r="J4" s="1"/>
      <c r="K4" s="1"/>
      <c r="L4" s="1"/>
    </row>
    <row r="5" spans="3:12" x14ac:dyDescent="0.3">
      <c r="C5" s="1"/>
      <c r="D5" s="1" t="s">
        <v>1</v>
      </c>
      <c r="E5" s="1">
        <v>1</v>
      </c>
      <c r="F5" s="1">
        <v>2</v>
      </c>
      <c r="G5" s="1">
        <v>3</v>
      </c>
      <c r="H5" s="1"/>
      <c r="I5" s="1"/>
      <c r="J5" s="1"/>
      <c r="K5" s="1"/>
      <c r="L5" s="1"/>
    </row>
    <row r="6" spans="3:12" x14ac:dyDescent="0.3">
      <c r="C6" s="1"/>
      <c r="D6" s="1" t="s">
        <v>2</v>
      </c>
      <c r="E6" s="1">
        <v>400</v>
      </c>
      <c r="F6" s="1">
        <v>400</v>
      </c>
      <c r="G6" s="1">
        <v>400</v>
      </c>
      <c r="H6" s="1"/>
      <c r="I6" s="1"/>
      <c r="J6" s="1"/>
      <c r="K6" s="1"/>
      <c r="L6" s="1"/>
    </row>
    <row r="7" spans="3:12" x14ac:dyDescent="0.3">
      <c r="C7" s="1"/>
      <c r="D7" s="1" t="s">
        <v>3</v>
      </c>
      <c r="E7" s="1">
        <v>-1.2</v>
      </c>
      <c r="F7" s="1">
        <v>-1.5</v>
      </c>
      <c r="G7" s="1">
        <v>-1.8</v>
      </c>
      <c r="H7" s="1"/>
      <c r="I7" s="1" t="s">
        <v>10</v>
      </c>
      <c r="J7" s="1"/>
      <c r="K7" s="1" t="s">
        <v>12</v>
      </c>
      <c r="L7" s="1"/>
    </row>
    <row r="8" spans="3:12" x14ac:dyDescent="0.3">
      <c r="C8" s="1"/>
      <c r="D8" s="1" t="s">
        <v>4</v>
      </c>
      <c r="E8" s="2">
        <v>300</v>
      </c>
      <c r="F8" s="2">
        <v>200</v>
      </c>
      <c r="G8" s="2">
        <v>200</v>
      </c>
      <c r="H8" s="1"/>
      <c r="I8" s="1">
        <f>SUM(E9:G9)</f>
        <v>180</v>
      </c>
      <c r="J8" s="1" t="s">
        <v>11</v>
      </c>
      <c r="K8" s="1">
        <v>400</v>
      </c>
      <c r="L8" s="1"/>
    </row>
    <row r="9" spans="3:12" x14ac:dyDescent="0.3">
      <c r="C9" s="1"/>
      <c r="D9" s="1" t="s">
        <v>5</v>
      </c>
      <c r="E9" s="1">
        <f>E6+E7*E8</f>
        <v>40</v>
      </c>
      <c r="F9" s="1">
        <f t="shared" ref="F9:G9" si="0">F6+F7*F8</f>
        <v>100</v>
      </c>
      <c r="G9" s="1">
        <f t="shared" si="0"/>
        <v>40</v>
      </c>
      <c r="H9" s="1"/>
      <c r="I9" s="1"/>
      <c r="J9" s="1"/>
      <c r="K9" s="1"/>
      <c r="L9" s="1"/>
    </row>
    <row r="10" spans="3:12" x14ac:dyDescent="0.3">
      <c r="C10" s="1"/>
      <c r="D10" s="1" t="s">
        <v>13</v>
      </c>
      <c r="E10" s="3">
        <f>E8*E9</f>
        <v>12000</v>
      </c>
      <c r="F10" s="3">
        <f t="shared" ref="F10:G10" si="1">F8*F9</f>
        <v>20000</v>
      </c>
      <c r="G10" s="3">
        <f t="shared" si="1"/>
        <v>8000</v>
      </c>
      <c r="H10" s="1"/>
      <c r="I10" s="1"/>
      <c r="J10" s="1"/>
      <c r="K10" s="1"/>
      <c r="L10" s="1"/>
    </row>
    <row r="11" spans="3:12" x14ac:dyDescent="0.3"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3:12" x14ac:dyDescent="0.3">
      <c r="C12" s="1"/>
      <c r="D12" s="1"/>
      <c r="E12" s="1" t="s">
        <v>14</v>
      </c>
      <c r="F12" s="1"/>
      <c r="G12" s="1"/>
      <c r="H12" s="1"/>
      <c r="I12" s="1"/>
      <c r="J12" s="1"/>
      <c r="K12" s="1"/>
      <c r="L12" s="1"/>
    </row>
    <row r="13" spans="3:12" x14ac:dyDescent="0.3">
      <c r="C13" s="1"/>
      <c r="D13" s="1"/>
      <c r="E13" s="4">
        <f>SUM(E10:G10)</f>
        <v>40000</v>
      </c>
      <c r="F13" s="1"/>
      <c r="G13" s="1"/>
      <c r="H13" s="1"/>
      <c r="I13" s="1"/>
      <c r="J13" s="1"/>
      <c r="K13" s="1"/>
      <c r="L1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I13"/>
  <sheetViews>
    <sheetView tabSelected="1" workbookViewId="0">
      <selection activeCell="J13" sqref="J13"/>
    </sheetView>
  </sheetViews>
  <sheetFormatPr defaultColWidth="8.88671875" defaultRowHeight="14.4" x14ac:dyDescent="0.3"/>
  <cols>
    <col min="1" max="4" width="8.88671875" style="1"/>
    <col min="5" max="5" width="10.109375" style="1" customWidth="1"/>
    <col min="6" max="6" width="12" style="1" bestFit="1" customWidth="1"/>
    <col min="7" max="7" width="9.88671875" style="1" bestFit="1" customWidth="1"/>
    <col min="8" max="16384" width="8.88671875" style="1"/>
  </cols>
  <sheetData>
    <row r="1" spans="3:9" x14ac:dyDescent="0.3">
      <c r="C1" s="1" t="s">
        <v>16</v>
      </c>
    </row>
    <row r="2" spans="3:9" x14ac:dyDescent="0.3">
      <c r="C2" s="1" t="s">
        <v>0</v>
      </c>
    </row>
    <row r="3" spans="3:9" x14ac:dyDescent="0.3">
      <c r="D3" s="1" t="s">
        <v>15</v>
      </c>
      <c r="E3" s="3">
        <v>100</v>
      </c>
    </row>
    <row r="5" spans="3:9" x14ac:dyDescent="0.3">
      <c r="D5" s="1" t="s">
        <v>1</v>
      </c>
      <c r="E5" s="1">
        <v>1</v>
      </c>
      <c r="F5" s="1">
        <v>2</v>
      </c>
      <c r="G5" s="1">
        <v>3</v>
      </c>
    </row>
    <row r="6" spans="3:9" x14ac:dyDescent="0.3">
      <c r="D6" s="1" t="s">
        <v>2</v>
      </c>
      <c r="E6" s="1">
        <v>400</v>
      </c>
      <c r="F6" s="1">
        <v>400</v>
      </c>
      <c r="G6" s="1">
        <v>400</v>
      </c>
    </row>
    <row r="7" spans="3:9" x14ac:dyDescent="0.3">
      <c r="D7" s="1" t="s">
        <v>3</v>
      </c>
      <c r="E7" s="1">
        <v>-1.2</v>
      </c>
      <c r="F7" s="1">
        <v>-1.5</v>
      </c>
      <c r="G7" s="1">
        <v>-1.8</v>
      </c>
      <c r="I7" s="1" t="s">
        <v>8</v>
      </c>
    </row>
    <row r="8" spans="3:9" x14ac:dyDescent="0.3">
      <c r="D8" s="1" t="s">
        <v>4</v>
      </c>
      <c r="E8" s="2">
        <v>200.00000001734747</v>
      </c>
      <c r="F8" s="2">
        <v>165.38461535456642</v>
      </c>
      <c r="G8" s="2">
        <v>133.33333313972801</v>
      </c>
      <c r="I8" s="1">
        <f>SUM(E9:G9)</f>
        <v>471.92307729582296</v>
      </c>
    </row>
    <row r="9" spans="3:9" x14ac:dyDescent="0.3">
      <c r="D9" s="1" t="s">
        <v>5</v>
      </c>
      <c r="E9" s="1">
        <f>E6+E7*E8</f>
        <v>159.99999997918303</v>
      </c>
      <c r="F9" s="1">
        <f t="shared" ref="F9:G9" si="0">F6+F7*F8</f>
        <v>151.92307696815038</v>
      </c>
      <c r="G9" s="1">
        <f t="shared" si="0"/>
        <v>160.00000034848958</v>
      </c>
    </row>
    <row r="10" spans="3:9" x14ac:dyDescent="0.3">
      <c r="D10" s="1" t="s">
        <v>6</v>
      </c>
      <c r="E10" s="3">
        <f>(E8-cost)*E9</f>
        <v>16000.000000693899</v>
      </c>
      <c r="F10" s="3">
        <f>(F8-cost)*F9</f>
        <v>9933.4319510447021</v>
      </c>
      <c r="G10" s="3">
        <f>(G8-cost)*G9</f>
        <v>5333.3333139728011</v>
      </c>
    </row>
    <row r="12" spans="3:9" x14ac:dyDescent="0.3">
      <c r="E12" s="1" t="s">
        <v>7</v>
      </c>
    </row>
    <row r="13" spans="3:9" x14ac:dyDescent="0.3">
      <c r="E13" s="4">
        <f>SUM(E10:G10)</f>
        <v>31266.765265711405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order 400</vt:lpstr>
      <vt:lpstr>how many</vt:lpstr>
      <vt:lpstr>Sheet2</vt:lpstr>
      <vt:lpstr>Sheet3</vt:lpstr>
      <vt:lpstr>'how many'!cost</vt:lpstr>
      <vt:lpstr>cost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winston</dc:creator>
  <cp:lastModifiedBy>swagato</cp:lastModifiedBy>
  <dcterms:created xsi:type="dcterms:W3CDTF">2011-01-12T18:57:01Z</dcterms:created>
  <dcterms:modified xsi:type="dcterms:W3CDTF">2019-11-27T07:20:52Z</dcterms:modified>
</cp:coreProperties>
</file>