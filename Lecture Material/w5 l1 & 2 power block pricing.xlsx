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5\"/>
    </mc:Choice>
  </mc:AlternateContent>
  <bookViews>
    <workbookView xWindow="12108" yWindow="4752" windowWidth="11916" windowHeight="4788" activeTab="3"/>
  </bookViews>
  <sheets>
    <sheet name="oneprice" sheetId="1" r:id="rId1"/>
    <sheet name="qd" sheetId="2" r:id="rId2"/>
    <sheet name="qd2" sheetId="5" r:id="rId3"/>
    <sheet name="tpt" sheetId="6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50000</definedName>
    <definedName name="RiskNumSimulations" hidden="1">11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0" hidden="1">oneprice!$D$8</definedName>
    <definedName name="solver_adj" localSheetId="1" hidden="1">qd!$F$1:$F$3</definedName>
    <definedName name="solver_adj" localSheetId="2" hidden="1">'qd2'!$F$1:$F$3</definedName>
    <definedName name="solver_adj" localSheetId="3" hidden="1">tpt!$F$2:$F$3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3</definedName>
    <definedName name="solver_eng" localSheetId="2" hidden="1">3</definedName>
    <definedName name="solver_eng" localSheetId="3" hidden="1">3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bd" localSheetId="0" hidden="1">2</definedName>
    <definedName name="solver_ibd" localSheetId="1" hidden="1">2</definedName>
    <definedName name="solver_ibd" localSheetId="2" hidden="1">2</definedName>
    <definedName name="solver_ibd" localSheetId="3" hidden="1">2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0" hidden="1">oneprice!$D$8</definedName>
    <definedName name="solver_lhs1" localSheetId="1" hidden="1">qd!$F$1</definedName>
    <definedName name="solver_lhs1" localSheetId="2" hidden="1">'qd2'!$F$2:$F$3</definedName>
    <definedName name="solver_lhs1" localSheetId="3" hidden="1">tpt!$F$2:$F$3</definedName>
    <definedName name="solver_lhs2" localSheetId="1" hidden="1">qd!$F$1</definedName>
    <definedName name="solver_lhs2" localSheetId="2" hidden="1">'qd2'!$F$2:$F$3</definedName>
    <definedName name="solver_lhs2" localSheetId="3" hidden="1">tpt!$F$2:$F$3</definedName>
    <definedName name="solver_lhs3" localSheetId="1" hidden="1">qd!$F$1</definedName>
    <definedName name="solver_lhs3" localSheetId="2" hidden="1">'qd2'!$F$1</definedName>
    <definedName name="solver_lhs3" localSheetId="3" hidden="1">tpt!$F$1</definedName>
    <definedName name="solver_lhs4" localSheetId="1" hidden="1">qd!$F$2:$F$3</definedName>
    <definedName name="solver_lhs4" localSheetId="2" hidden="1">'qd2'!$F$1</definedName>
    <definedName name="solver_lhs4" localSheetId="3" hidden="1">tpt!$F$1</definedName>
    <definedName name="solver_lhs5" localSheetId="1" hidden="1">qd!$F$2:$F$3</definedName>
    <definedName name="solver_lhs5" localSheetId="2" hidden="1">'qd2'!$F$1</definedName>
    <definedName name="solver_lhs5" localSheetId="3" hidden="1">tpt!$F$1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va" localSheetId="0" hidden="1">2</definedName>
    <definedName name="solver_mip" localSheetId="0" hidden="1">5000</definedName>
    <definedName name="solver_mip" localSheetId="1" hidden="1">5000</definedName>
    <definedName name="solver_mip" localSheetId="2" hidden="1">5000</definedName>
    <definedName name="solver_mip" localSheetId="3" hidden="1">5000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0.5</definedName>
    <definedName name="solver_mrt" localSheetId="2" hidden="1">0.5</definedName>
    <definedName name="solver_mrt" localSheetId="3" hidden="1">0.25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3" hidden="1">2</definedName>
    <definedName name="solver_nod" localSheetId="0" hidden="1">5000</definedName>
    <definedName name="solver_nod" localSheetId="1" hidden="1">5000</definedName>
    <definedName name="solver_nod" localSheetId="2" hidden="1">5000</definedName>
    <definedName name="solver_nod" localSheetId="3" hidden="1">5000</definedName>
    <definedName name="solver_num" localSheetId="0" hidden="1">1</definedName>
    <definedName name="solver_num" localSheetId="1" hidden="1">5</definedName>
    <definedName name="solver_num" localSheetId="2" hidden="1">5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fx" localSheetId="0" hidden="1">2</definedName>
    <definedName name="solver_ofx" localSheetId="1" hidden="1">2</definedName>
    <definedName name="solver_ofx" localSheetId="2" hidden="1">2</definedName>
    <definedName name="solver_ofx" localSheetId="3" hidden="1">2</definedName>
    <definedName name="solver_opt" localSheetId="0" hidden="1">oneprice!$D$12</definedName>
    <definedName name="solver_opt" localSheetId="1" hidden="1">qd!$J$6</definedName>
    <definedName name="solver_opt" localSheetId="2" hidden="1">'qd2'!$J$6</definedName>
    <definedName name="solver_opt" localSheetId="3" hidden="1">tpt!$J$6</definedName>
    <definedName name="solver_piv" localSheetId="0" hidden="1">0.000001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o" localSheetId="0" hidden="1">2</definedName>
    <definedName name="solver_pro" localSheetId="1" hidden="1">2</definedName>
    <definedName name="solver_pro" localSheetId="2" hidden="1">2</definedName>
    <definedName name="solver_pro" localSheetId="3" hidden="1">2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d" localSheetId="0" hidden="1">0.000001</definedName>
    <definedName name="solver_rel1" localSheetId="0" hidden="1">3</definedName>
    <definedName name="solver_rel1" localSheetId="1" hidden="1">4</definedName>
    <definedName name="solver_rel1" localSheetId="2" hidden="1">3</definedName>
    <definedName name="solver_rel1" localSheetId="3" hidden="1">1</definedName>
    <definedName name="solver_rel2" localSheetId="1" hidden="1">3</definedName>
    <definedName name="solver_rel2" localSheetId="2" hidden="1">1</definedName>
    <definedName name="solver_rel2" localSheetId="3" hidden="1">3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4" localSheetId="1" hidden="1">1</definedName>
    <definedName name="solver_rel4" localSheetId="2" hidden="1">4</definedName>
    <definedName name="solver_rel4" localSheetId="3" hidden="1">4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o" localSheetId="0" hidden="1">2</definedName>
    <definedName name="solver_reo" localSheetId="1" hidden="1">2</definedName>
    <definedName name="solver_reo" localSheetId="2" hidden="1">2</definedName>
    <definedName name="solver_reo" localSheetId="3" hidden="1">2</definedName>
    <definedName name="solver_rep" localSheetId="0" hidden="1">2</definedName>
    <definedName name="solver_rep" localSheetId="1" hidden="1">2</definedName>
    <definedName name="solver_rep" localSheetId="2" hidden="1">2</definedName>
    <definedName name="solver_rep" localSheetId="3" hidden="1">2</definedName>
    <definedName name="solver_rhs1" localSheetId="0" hidden="1">0</definedName>
    <definedName name="solver_rhs1" localSheetId="1" hidden="1">integer</definedName>
    <definedName name="solver_rhs1" localSheetId="2" hidden="1">0</definedName>
    <definedName name="solver_rhs1" localSheetId="3" hidden="1">100</definedName>
    <definedName name="solver_rhs2" localSheetId="1" hidden="1">1</definedName>
    <definedName name="solver_rhs2" localSheetId="2" hidden="1">20</definedName>
    <definedName name="solver_rhs2" localSheetId="3" hidden="1">0</definedName>
    <definedName name="solver_rhs3" localSheetId="1" hidden="1">20</definedName>
    <definedName name="solver_rhs3" localSheetId="2" hidden="1">20</definedName>
    <definedName name="solver_rhs3" localSheetId="3" hidden="1">20</definedName>
    <definedName name="solver_rhs4" localSheetId="1" hidden="1">20</definedName>
    <definedName name="solver_rhs4" localSheetId="2" hidden="1">integer</definedName>
    <definedName name="solver_rhs4" localSheetId="3" hidden="1">integer</definedName>
    <definedName name="solver_rhs5" localSheetId="1" hidden="1">0</definedName>
    <definedName name="solver_rhs5" localSheetId="2" hidden="1">1</definedName>
    <definedName name="solver_rhs5" localSheetId="3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td" localSheetId="0" hidden="1">1</definedName>
    <definedName name="solver_std" localSheetId="1" hidden="1">0</definedName>
    <definedName name="solver_std" localSheetId="2" hidden="1">0</definedName>
    <definedName name="solver_std" localSheetId="3" hidden="1">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ol" localSheetId="0" hidden="1">0.05</definedName>
    <definedName name="solver_tol" localSheetId="1" hidden="1">0.0005</definedName>
    <definedName name="solver_tol" localSheetId="2" hidden="1">0.0005</definedName>
    <definedName name="solver_tol" localSheetId="3" hidden="1">0.0005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</workbook>
</file>

<file path=xl/calcChain.xml><?xml version="1.0" encoding="utf-8"?>
<calcChain xmlns="http://schemas.openxmlformats.org/spreadsheetml/2006/main">
  <c r="E7" i="6" l="1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6" i="6"/>
  <c r="F6" i="6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6" i="5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6" i="2"/>
  <c r="F6" i="2"/>
  <c r="D9" i="1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6" i="6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6" i="5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6" i="2"/>
  <c r="F6" i="5"/>
  <c r="D12" i="1"/>
  <c r="F7" i="6"/>
  <c r="F7" i="5"/>
  <c r="F8" i="5"/>
  <c r="F7" i="2"/>
  <c r="F8" i="6"/>
  <c r="F9" i="5"/>
  <c r="F8" i="2"/>
  <c r="F9" i="6"/>
  <c r="F10" i="5"/>
  <c r="F9" i="2"/>
  <c r="F10" i="6"/>
  <c r="F11" i="5"/>
  <c r="F10" i="2"/>
  <c r="F11" i="6"/>
  <c r="F12" i="5"/>
  <c r="F11" i="2"/>
  <c r="F12" i="6"/>
  <c r="F13" i="5"/>
  <c r="F12" i="2"/>
  <c r="F13" i="6"/>
  <c r="F14" i="5"/>
  <c r="F13" i="2"/>
  <c r="F14" i="6"/>
  <c r="F15" i="5"/>
  <c r="F14" i="2"/>
  <c r="F15" i="6"/>
  <c r="F16" i="5"/>
  <c r="F15" i="2"/>
  <c r="F16" i="6"/>
  <c r="F17" i="5"/>
  <c r="F16" i="2"/>
  <c r="F17" i="6"/>
  <c r="F18" i="5"/>
  <c r="F17" i="2"/>
  <c r="F18" i="6"/>
  <c r="F19" i="5"/>
  <c r="F18" i="2"/>
  <c r="F19" i="6"/>
  <c r="F20" i="5"/>
  <c r="F19" i="2"/>
  <c r="F20" i="6"/>
  <c r="F21" i="5"/>
  <c r="F20" i="2"/>
  <c r="F21" i="6"/>
  <c r="F22" i="5"/>
  <c r="F21" i="2"/>
  <c r="F22" i="6"/>
  <c r="F23" i="5"/>
  <c r="F22" i="2"/>
  <c r="F23" i="6"/>
  <c r="F24" i="5"/>
  <c r="F23" i="2"/>
  <c r="F24" i="6"/>
  <c r="F25" i="5"/>
  <c r="H4" i="5"/>
  <c r="I1" i="5"/>
  <c r="F24" i="2"/>
  <c r="F25" i="6"/>
  <c r="I1" i="6"/>
  <c r="F25" i="2"/>
  <c r="H4" i="2"/>
  <c r="I1" i="2"/>
</calcChain>
</file>

<file path=xl/sharedStrings.xml><?xml version="1.0" encoding="utf-8"?>
<sst xmlns="http://schemas.openxmlformats.org/spreadsheetml/2006/main" count="50" uniqueCount="23">
  <si>
    <t>price</t>
  </si>
  <si>
    <t>unit cost</t>
  </si>
  <si>
    <t>Unit</t>
  </si>
  <si>
    <t>Value</t>
  </si>
  <si>
    <t>Cum Value</t>
  </si>
  <si>
    <t>cost</t>
  </si>
  <si>
    <t>cutoff</t>
  </si>
  <si>
    <t>HP</t>
  </si>
  <si>
    <t>LP</t>
  </si>
  <si>
    <t>Price paid</t>
  </si>
  <si>
    <t>Surplus</t>
  </si>
  <si>
    <t>Units bought</t>
  </si>
  <si>
    <t>Revenue</t>
  </si>
  <si>
    <t>Prod Cost</t>
  </si>
  <si>
    <t>Max surplus</t>
  </si>
  <si>
    <t>Profit</t>
  </si>
  <si>
    <t>Midpoint</t>
  </si>
  <si>
    <t>Fixed</t>
  </si>
  <si>
    <t>var</t>
  </si>
  <si>
    <t>profit</t>
  </si>
  <si>
    <t>demand</t>
  </si>
  <si>
    <t>Demand=20-4xPrice</t>
  </si>
  <si>
    <t>Price = 5 - 0.25 x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</si>
</sst>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_(&quot;$&quot;* #,##0.00_);_(&quot;$&quot;* \(#,##0.00\);_(&quot;$&quot;* &quot;-&quot;??_);_(@_)"/>
    <numFmt numFmtId="172" formatCode="&quot;$&quot;#,##0.00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72" fontId="2" fillId="0" borderId="0" xfId="0" applyNumberFormat="1" applyFont="1"/>
    <xf numFmtId="170" fontId="2" fillId="0" borderId="0" xfId="1" applyFont="1"/>
    <xf numFmtId="0" fontId="2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C2" zoomScale="120" zoomScaleNormal="120" workbookViewId="0">
      <selection activeCell="E13" sqref="E13"/>
    </sheetView>
  </sheetViews>
  <sheetFormatPr defaultRowHeight="13.2" x14ac:dyDescent="0.25"/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 t="s">
        <v>0</v>
      </c>
      <c r="D8" s="2">
        <v>4</v>
      </c>
      <c r="E8" s="2"/>
      <c r="F8" s="1"/>
      <c r="G8" s="1"/>
    </row>
    <row r="9" spans="1:7" x14ac:dyDescent="0.25">
      <c r="A9" s="1"/>
      <c r="B9" s="1"/>
      <c r="C9" s="1" t="s">
        <v>20</v>
      </c>
      <c r="D9" s="1">
        <f>20-4*D8</f>
        <v>4</v>
      </c>
      <c r="E9" s="1"/>
      <c r="F9" s="1" t="s">
        <v>21</v>
      </c>
      <c r="G9" s="1"/>
    </row>
    <row r="10" spans="1:7" x14ac:dyDescent="0.25">
      <c r="A10" s="1"/>
      <c r="B10" s="1"/>
      <c r="C10" s="1" t="s">
        <v>1</v>
      </c>
      <c r="D10" s="2">
        <v>2</v>
      </c>
      <c r="E10" s="2"/>
      <c r="F10" s="1" t="s">
        <v>22</v>
      </c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 t="s">
        <v>19</v>
      </c>
      <c r="D12" s="2">
        <f>D9*(D8-D10)</f>
        <v>8</v>
      </c>
      <c r="E12" s="2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J25"/>
  <sheetViews>
    <sheetView topLeftCell="C6" workbookViewId="0">
      <selection activeCell="H6" sqref="H6:H25"/>
    </sheetView>
  </sheetViews>
  <sheetFormatPr defaultColWidth="9.109375" defaultRowHeight="13.2" x14ac:dyDescent="0.25"/>
  <cols>
    <col min="1" max="6" width="9.109375" style="1"/>
    <col min="7" max="7" width="13.5546875" style="1" customWidth="1"/>
    <col min="8" max="8" width="13" style="1" customWidth="1"/>
    <col min="9" max="16384" width="9.109375" style="1"/>
  </cols>
  <sheetData>
    <row r="1" spans="3:10" x14ac:dyDescent="0.25">
      <c r="E1" s="1" t="s">
        <v>6</v>
      </c>
      <c r="F1" s="4">
        <v>8</v>
      </c>
      <c r="H1" s="1" t="s">
        <v>11</v>
      </c>
      <c r="I1" s="1">
        <f>IF(H4&gt;0,MATCH(H4,H6:H25,0),0)</f>
        <v>0</v>
      </c>
    </row>
    <row r="2" spans="3:10" x14ac:dyDescent="0.25">
      <c r="C2" s="1" t="s">
        <v>5</v>
      </c>
      <c r="E2" s="1" t="s">
        <v>7</v>
      </c>
      <c r="F2" s="4">
        <v>6</v>
      </c>
      <c r="H2" s="1" t="s">
        <v>12</v>
      </c>
      <c r="I2" s="3"/>
    </row>
    <row r="3" spans="3:10" x14ac:dyDescent="0.25">
      <c r="C3" s="1">
        <v>2</v>
      </c>
      <c r="E3" s="1" t="s">
        <v>8</v>
      </c>
      <c r="F3" s="4">
        <v>3</v>
      </c>
      <c r="H3" s="1" t="s">
        <v>13</v>
      </c>
      <c r="I3" s="3"/>
    </row>
    <row r="4" spans="3:10" x14ac:dyDescent="0.25">
      <c r="G4" s="1" t="s">
        <v>14</v>
      </c>
      <c r="H4" s="1">
        <f>IF(MAX(H6:H25)&gt;=0,MAX(H6:H25),0)</f>
        <v>0</v>
      </c>
    </row>
    <row r="5" spans="3:10" x14ac:dyDescent="0.25">
      <c r="C5" s="1" t="s">
        <v>16</v>
      </c>
      <c r="D5" s="1" t="s">
        <v>2</v>
      </c>
      <c r="E5" s="1" t="s">
        <v>3</v>
      </c>
      <c r="F5" s="1" t="s">
        <v>4</v>
      </c>
      <c r="G5" s="1" t="s">
        <v>9</v>
      </c>
      <c r="H5" s="1" t="s">
        <v>10</v>
      </c>
      <c r="J5" s="1" t="s">
        <v>15</v>
      </c>
    </row>
    <row r="6" spans="3:10" x14ac:dyDescent="0.25">
      <c r="C6" s="1">
        <v>0.5</v>
      </c>
      <c r="D6" s="1">
        <v>1</v>
      </c>
      <c r="E6" s="1">
        <f>5-0.25*C6</f>
        <v>4.875</v>
      </c>
      <c r="F6" s="1">
        <f>E6</f>
        <v>4.875</v>
      </c>
      <c r="G6" s="1">
        <f>IF(D6&lt;=$F$1,$F$2*D6,$F$2*$F$1+$F$3*(D6-$F$1))</f>
        <v>6</v>
      </c>
      <c r="J6" s="3"/>
    </row>
    <row r="7" spans="3:10" x14ac:dyDescent="0.25">
      <c r="C7" s="1">
        <v>1.5</v>
      </c>
      <c r="D7" s="1">
        <v>2</v>
      </c>
      <c r="E7" s="1">
        <f t="shared" ref="E7:E25" si="0">5-0.25*C7</f>
        <v>4.625</v>
      </c>
      <c r="F7" s="1">
        <f>F6+E7</f>
        <v>9.5</v>
      </c>
      <c r="G7" s="1">
        <f t="shared" ref="G7:G25" si="1">IF(D7&lt;=$F$1,$F$2*D7,$F$2*$F$1+$F$3*(D7-$F$1))</f>
        <v>12</v>
      </c>
    </row>
    <row r="8" spans="3:10" x14ac:dyDescent="0.25">
      <c r="C8" s="1">
        <v>2.5</v>
      </c>
      <c r="D8" s="1">
        <v>3</v>
      </c>
      <c r="E8" s="1">
        <f t="shared" si="0"/>
        <v>4.375</v>
      </c>
      <c r="F8" s="1">
        <f t="shared" ref="F8:F24" si="2">F7+E8</f>
        <v>13.875</v>
      </c>
      <c r="G8" s="1">
        <f t="shared" si="1"/>
        <v>18</v>
      </c>
    </row>
    <row r="9" spans="3:10" x14ac:dyDescent="0.25">
      <c r="C9" s="1">
        <v>3.5</v>
      </c>
      <c r="D9" s="1">
        <v>4</v>
      </c>
      <c r="E9" s="1">
        <f t="shared" si="0"/>
        <v>4.125</v>
      </c>
      <c r="F9" s="1">
        <f t="shared" si="2"/>
        <v>18</v>
      </c>
      <c r="G9" s="1">
        <f t="shared" si="1"/>
        <v>24</v>
      </c>
    </row>
    <row r="10" spans="3:10" x14ac:dyDescent="0.25">
      <c r="C10" s="1">
        <v>4.5</v>
      </c>
      <c r="D10" s="1">
        <v>5</v>
      </c>
      <c r="E10" s="1">
        <f t="shared" si="0"/>
        <v>3.875</v>
      </c>
      <c r="F10" s="1">
        <f t="shared" si="2"/>
        <v>21.875</v>
      </c>
      <c r="G10" s="1">
        <f t="shared" si="1"/>
        <v>30</v>
      </c>
    </row>
    <row r="11" spans="3:10" x14ac:dyDescent="0.25">
      <c r="C11" s="1">
        <v>5.5</v>
      </c>
      <c r="D11" s="1">
        <v>6</v>
      </c>
      <c r="E11" s="1">
        <f t="shared" si="0"/>
        <v>3.625</v>
      </c>
      <c r="F11" s="1">
        <f t="shared" si="2"/>
        <v>25.5</v>
      </c>
      <c r="G11" s="1">
        <f t="shared" si="1"/>
        <v>36</v>
      </c>
    </row>
    <row r="12" spans="3:10" x14ac:dyDescent="0.25">
      <c r="C12" s="1">
        <v>6.5</v>
      </c>
      <c r="D12" s="1">
        <v>7</v>
      </c>
      <c r="E12" s="1">
        <f t="shared" si="0"/>
        <v>3.375</v>
      </c>
      <c r="F12" s="1">
        <f t="shared" si="2"/>
        <v>28.875</v>
      </c>
      <c r="G12" s="1">
        <f t="shared" si="1"/>
        <v>42</v>
      </c>
    </row>
    <row r="13" spans="3:10" x14ac:dyDescent="0.25">
      <c r="C13" s="1">
        <v>7.5</v>
      </c>
      <c r="D13" s="1">
        <v>8</v>
      </c>
      <c r="E13" s="1">
        <f t="shared" si="0"/>
        <v>3.125</v>
      </c>
      <c r="F13" s="1">
        <f t="shared" si="2"/>
        <v>32</v>
      </c>
      <c r="G13" s="1">
        <f t="shared" si="1"/>
        <v>48</v>
      </c>
    </row>
    <row r="14" spans="3:10" x14ac:dyDescent="0.25">
      <c r="C14" s="1">
        <v>8.5</v>
      </c>
      <c r="D14" s="1">
        <v>9</v>
      </c>
      <c r="E14" s="1">
        <f t="shared" si="0"/>
        <v>2.875</v>
      </c>
      <c r="F14" s="1">
        <f t="shared" si="2"/>
        <v>34.875</v>
      </c>
      <c r="G14" s="1">
        <f t="shared" si="1"/>
        <v>51</v>
      </c>
    </row>
    <row r="15" spans="3:10" x14ac:dyDescent="0.25">
      <c r="C15" s="1">
        <v>9.5</v>
      </c>
      <c r="D15" s="1">
        <v>10</v>
      </c>
      <c r="E15" s="1">
        <f t="shared" si="0"/>
        <v>2.625</v>
      </c>
      <c r="F15" s="1">
        <f t="shared" si="2"/>
        <v>37.5</v>
      </c>
      <c r="G15" s="1">
        <f t="shared" si="1"/>
        <v>54</v>
      </c>
    </row>
    <row r="16" spans="3:10" x14ac:dyDescent="0.25">
      <c r="C16" s="1">
        <v>10.5</v>
      </c>
      <c r="D16" s="1">
        <v>11</v>
      </c>
      <c r="E16" s="1">
        <f t="shared" si="0"/>
        <v>2.375</v>
      </c>
      <c r="F16" s="1">
        <f t="shared" si="2"/>
        <v>39.875</v>
      </c>
      <c r="G16" s="1">
        <f t="shared" si="1"/>
        <v>57</v>
      </c>
    </row>
    <row r="17" spans="3:7" x14ac:dyDescent="0.25">
      <c r="C17" s="1">
        <v>11.5</v>
      </c>
      <c r="D17" s="1">
        <v>12</v>
      </c>
      <c r="E17" s="1">
        <f t="shared" si="0"/>
        <v>2.125</v>
      </c>
      <c r="F17" s="1">
        <f t="shared" si="2"/>
        <v>42</v>
      </c>
      <c r="G17" s="1">
        <f t="shared" si="1"/>
        <v>60</v>
      </c>
    </row>
    <row r="18" spans="3:7" x14ac:dyDescent="0.25">
      <c r="C18" s="1">
        <v>12.5</v>
      </c>
      <c r="D18" s="1">
        <v>13</v>
      </c>
      <c r="E18" s="1">
        <f t="shared" si="0"/>
        <v>1.875</v>
      </c>
      <c r="F18" s="1">
        <f t="shared" si="2"/>
        <v>43.875</v>
      </c>
      <c r="G18" s="1">
        <f t="shared" si="1"/>
        <v>63</v>
      </c>
    </row>
    <row r="19" spans="3:7" x14ac:dyDescent="0.25">
      <c r="C19" s="1">
        <v>13.5</v>
      </c>
      <c r="D19" s="1">
        <v>14</v>
      </c>
      <c r="E19" s="1">
        <f t="shared" si="0"/>
        <v>1.625</v>
      </c>
      <c r="F19" s="1">
        <f t="shared" si="2"/>
        <v>45.5</v>
      </c>
      <c r="G19" s="1">
        <f t="shared" si="1"/>
        <v>66</v>
      </c>
    </row>
    <row r="20" spans="3:7" x14ac:dyDescent="0.25">
      <c r="C20" s="1">
        <v>14.5</v>
      </c>
      <c r="D20" s="1">
        <v>15</v>
      </c>
      <c r="E20" s="1">
        <f t="shared" si="0"/>
        <v>1.375</v>
      </c>
      <c r="F20" s="1">
        <f t="shared" si="2"/>
        <v>46.875</v>
      </c>
      <c r="G20" s="1">
        <f t="shared" si="1"/>
        <v>69</v>
      </c>
    </row>
    <row r="21" spans="3:7" x14ac:dyDescent="0.25">
      <c r="C21" s="1">
        <v>15.5</v>
      </c>
      <c r="D21" s="1">
        <v>16</v>
      </c>
      <c r="E21" s="1">
        <f t="shared" si="0"/>
        <v>1.125</v>
      </c>
      <c r="F21" s="1">
        <f t="shared" si="2"/>
        <v>48</v>
      </c>
      <c r="G21" s="1">
        <f t="shared" si="1"/>
        <v>72</v>
      </c>
    </row>
    <row r="22" spans="3:7" x14ac:dyDescent="0.25">
      <c r="C22" s="1">
        <v>16.5</v>
      </c>
      <c r="D22" s="1">
        <v>17</v>
      </c>
      <c r="E22" s="1">
        <f t="shared" si="0"/>
        <v>0.875</v>
      </c>
      <c r="F22" s="1">
        <f t="shared" si="2"/>
        <v>48.875</v>
      </c>
      <c r="G22" s="1">
        <f t="shared" si="1"/>
        <v>75</v>
      </c>
    </row>
    <row r="23" spans="3:7" x14ac:dyDescent="0.25">
      <c r="C23" s="1">
        <v>17.5</v>
      </c>
      <c r="D23" s="1">
        <v>18</v>
      </c>
      <c r="E23" s="1">
        <f t="shared" si="0"/>
        <v>0.625</v>
      </c>
      <c r="F23" s="1">
        <f t="shared" si="2"/>
        <v>49.5</v>
      </c>
      <c r="G23" s="1">
        <f t="shared" si="1"/>
        <v>78</v>
      </c>
    </row>
    <row r="24" spans="3:7" x14ac:dyDescent="0.25">
      <c r="C24" s="1">
        <v>18.5</v>
      </c>
      <c r="D24" s="1">
        <v>19</v>
      </c>
      <c r="E24" s="1">
        <f t="shared" si="0"/>
        <v>0.375</v>
      </c>
      <c r="F24" s="1">
        <f t="shared" si="2"/>
        <v>49.875</v>
      </c>
      <c r="G24" s="1">
        <f t="shared" si="1"/>
        <v>81</v>
      </c>
    </row>
    <row r="25" spans="3:7" x14ac:dyDescent="0.25">
      <c r="C25" s="1">
        <v>19.5</v>
      </c>
      <c r="D25" s="1">
        <v>20</v>
      </c>
      <c r="E25" s="1">
        <f t="shared" si="0"/>
        <v>0.125</v>
      </c>
      <c r="F25" s="1">
        <f>F24+E25</f>
        <v>50</v>
      </c>
      <c r="G25" s="1">
        <f t="shared" si="1"/>
        <v>84</v>
      </c>
    </row>
  </sheetData>
  <phoneticPr fontId="0" type="noConversion"/>
  <printOptions headings="1" gridLines="1"/>
  <pageMargins left="0.75" right="0.75" top="1" bottom="1" header="0.5" footer="0.5"/>
  <pageSetup scale="8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J25"/>
  <sheetViews>
    <sheetView topLeftCell="C1" workbookViewId="0">
      <selection activeCell="I11" sqref="I11"/>
    </sheetView>
  </sheetViews>
  <sheetFormatPr defaultColWidth="9.109375" defaultRowHeight="13.2" x14ac:dyDescent="0.25"/>
  <cols>
    <col min="1" max="6" width="9.109375" style="1"/>
    <col min="7" max="7" width="13.5546875" style="1" customWidth="1"/>
    <col min="8" max="8" width="13" style="1" customWidth="1"/>
    <col min="9" max="16384" width="9.109375" style="1"/>
  </cols>
  <sheetData>
    <row r="1" spans="3:10" x14ac:dyDescent="0.25">
      <c r="E1" s="1" t="s">
        <v>6</v>
      </c>
      <c r="F1" s="4">
        <v>8</v>
      </c>
      <c r="H1" s="1" t="s">
        <v>11</v>
      </c>
      <c r="I1" s="1">
        <f>IF(H4&gt;0,MATCH(H4,H6:H25,0),0)</f>
        <v>0</v>
      </c>
    </row>
    <row r="2" spans="3:10" x14ac:dyDescent="0.25">
      <c r="C2" s="1" t="s">
        <v>5</v>
      </c>
      <c r="E2" s="1" t="s">
        <v>7</v>
      </c>
      <c r="F2" s="4">
        <v>5</v>
      </c>
      <c r="H2" s="1" t="s">
        <v>12</v>
      </c>
      <c r="I2" s="3"/>
    </row>
    <row r="3" spans="3:10" x14ac:dyDescent="0.25">
      <c r="C3" s="1">
        <v>2</v>
      </c>
      <c r="E3" s="1" t="s">
        <v>8</v>
      </c>
      <c r="F3" s="4">
        <v>3</v>
      </c>
      <c r="H3" s="1" t="s">
        <v>13</v>
      </c>
      <c r="I3" s="3"/>
    </row>
    <row r="4" spans="3:10" x14ac:dyDescent="0.25">
      <c r="G4" s="1" t="s">
        <v>14</v>
      </c>
      <c r="H4" s="1">
        <f>IF(MAX(H6:H25)&gt;=0,MAX(H6:H25),0)</f>
        <v>0</v>
      </c>
    </row>
    <row r="5" spans="3:10" x14ac:dyDescent="0.25">
      <c r="C5" s="1" t="s">
        <v>16</v>
      </c>
      <c r="D5" s="1" t="s">
        <v>2</v>
      </c>
      <c r="E5" s="1" t="s">
        <v>3</v>
      </c>
      <c r="F5" s="1" t="s">
        <v>4</v>
      </c>
      <c r="G5" s="1" t="s">
        <v>9</v>
      </c>
      <c r="H5" s="1" t="s">
        <v>10</v>
      </c>
      <c r="J5" s="1" t="s">
        <v>15</v>
      </c>
    </row>
    <row r="6" spans="3:10" x14ac:dyDescent="0.25">
      <c r="C6" s="1">
        <v>0.5</v>
      </c>
      <c r="D6" s="1">
        <v>1</v>
      </c>
      <c r="E6" s="1">
        <f>5-0.25*C6</f>
        <v>4.875</v>
      </c>
      <c r="F6" s="1">
        <f>E6</f>
        <v>4.875</v>
      </c>
      <c r="G6" s="1">
        <f>IF(D6&lt;=$F$1,$F$2*D6,$F$3*D6)</f>
        <v>5</v>
      </c>
      <c r="J6" s="3"/>
    </row>
    <row r="7" spans="3:10" x14ac:dyDescent="0.25">
      <c r="C7" s="1">
        <v>1.5</v>
      </c>
      <c r="D7" s="1">
        <v>2</v>
      </c>
      <c r="E7" s="1">
        <f t="shared" ref="E7:E25" si="0">5-0.25*C7</f>
        <v>4.625</v>
      </c>
      <c r="F7" s="1">
        <f t="shared" ref="F7:F24" si="1">F6+E7</f>
        <v>9.5</v>
      </c>
      <c r="G7" s="1">
        <f t="shared" ref="G7:G25" si="2">IF(D7&lt;=$F$1,$F$2*D7,$F$3*D7)</f>
        <v>10</v>
      </c>
    </row>
    <row r="8" spans="3:10" x14ac:dyDescent="0.25">
      <c r="C8" s="1">
        <v>2.5</v>
      </c>
      <c r="D8" s="1">
        <v>3</v>
      </c>
      <c r="E8" s="1">
        <f t="shared" si="0"/>
        <v>4.375</v>
      </c>
      <c r="F8" s="1">
        <f t="shared" si="1"/>
        <v>13.875</v>
      </c>
      <c r="G8" s="1">
        <f t="shared" si="2"/>
        <v>15</v>
      </c>
    </row>
    <row r="9" spans="3:10" x14ac:dyDescent="0.25">
      <c r="C9" s="1">
        <v>3.5</v>
      </c>
      <c r="D9" s="1">
        <v>4</v>
      </c>
      <c r="E9" s="1">
        <f t="shared" si="0"/>
        <v>4.125</v>
      </c>
      <c r="F9" s="1">
        <f t="shared" si="1"/>
        <v>18</v>
      </c>
      <c r="G9" s="1">
        <f t="shared" si="2"/>
        <v>20</v>
      </c>
    </row>
    <row r="10" spans="3:10" x14ac:dyDescent="0.25">
      <c r="C10" s="1">
        <v>4.5</v>
      </c>
      <c r="D10" s="1">
        <v>5</v>
      </c>
      <c r="E10" s="1">
        <f t="shared" si="0"/>
        <v>3.875</v>
      </c>
      <c r="F10" s="1">
        <f t="shared" si="1"/>
        <v>21.875</v>
      </c>
      <c r="G10" s="1">
        <f t="shared" si="2"/>
        <v>25</v>
      </c>
    </row>
    <row r="11" spans="3:10" x14ac:dyDescent="0.25">
      <c r="C11" s="1">
        <v>5.5</v>
      </c>
      <c r="D11" s="1">
        <v>6</v>
      </c>
      <c r="E11" s="1">
        <f t="shared" si="0"/>
        <v>3.625</v>
      </c>
      <c r="F11" s="1">
        <f t="shared" si="1"/>
        <v>25.5</v>
      </c>
      <c r="G11" s="1">
        <f t="shared" si="2"/>
        <v>30</v>
      </c>
    </row>
    <row r="12" spans="3:10" x14ac:dyDescent="0.25">
      <c r="C12" s="1">
        <v>6.5</v>
      </c>
      <c r="D12" s="1">
        <v>7</v>
      </c>
      <c r="E12" s="1">
        <f t="shared" si="0"/>
        <v>3.375</v>
      </c>
      <c r="F12" s="1">
        <f t="shared" si="1"/>
        <v>28.875</v>
      </c>
      <c r="G12" s="1">
        <f t="shared" si="2"/>
        <v>35</v>
      </c>
    </row>
    <row r="13" spans="3:10" x14ac:dyDescent="0.25">
      <c r="C13" s="1">
        <v>7.5</v>
      </c>
      <c r="D13" s="1">
        <v>8</v>
      </c>
      <c r="E13" s="1">
        <f t="shared" si="0"/>
        <v>3.125</v>
      </c>
      <c r="F13" s="1">
        <f t="shared" si="1"/>
        <v>32</v>
      </c>
      <c r="G13" s="1">
        <f t="shared" si="2"/>
        <v>40</v>
      </c>
    </row>
    <row r="14" spans="3:10" x14ac:dyDescent="0.25">
      <c r="C14" s="1">
        <v>8.5</v>
      </c>
      <c r="D14" s="1">
        <v>9</v>
      </c>
      <c r="E14" s="1">
        <f t="shared" si="0"/>
        <v>2.875</v>
      </c>
      <c r="F14" s="1">
        <f t="shared" si="1"/>
        <v>34.875</v>
      </c>
      <c r="G14" s="1">
        <f t="shared" si="2"/>
        <v>27</v>
      </c>
    </row>
    <row r="15" spans="3:10" x14ac:dyDescent="0.25">
      <c r="C15" s="1">
        <v>9.5</v>
      </c>
      <c r="D15" s="1">
        <v>10</v>
      </c>
      <c r="E15" s="1">
        <f t="shared" si="0"/>
        <v>2.625</v>
      </c>
      <c r="F15" s="1">
        <f t="shared" si="1"/>
        <v>37.5</v>
      </c>
      <c r="G15" s="1">
        <f t="shared" si="2"/>
        <v>30</v>
      </c>
    </row>
    <row r="16" spans="3:10" x14ac:dyDescent="0.25">
      <c r="C16" s="1">
        <v>10.5</v>
      </c>
      <c r="D16" s="1">
        <v>11</v>
      </c>
      <c r="E16" s="1">
        <f t="shared" si="0"/>
        <v>2.375</v>
      </c>
      <c r="F16" s="1">
        <f t="shared" si="1"/>
        <v>39.875</v>
      </c>
      <c r="G16" s="1">
        <f t="shared" si="2"/>
        <v>33</v>
      </c>
    </row>
    <row r="17" spans="3:7" x14ac:dyDescent="0.25">
      <c r="C17" s="1">
        <v>11.5</v>
      </c>
      <c r="D17" s="1">
        <v>12</v>
      </c>
      <c r="E17" s="1">
        <f t="shared" si="0"/>
        <v>2.125</v>
      </c>
      <c r="F17" s="1">
        <f t="shared" si="1"/>
        <v>42</v>
      </c>
      <c r="G17" s="1">
        <f t="shared" si="2"/>
        <v>36</v>
      </c>
    </row>
    <row r="18" spans="3:7" x14ac:dyDescent="0.25">
      <c r="C18" s="1">
        <v>12.5</v>
      </c>
      <c r="D18" s="1">
        <v>13</v>
      </c>
      <c r="E18" s="1">
        <f t="shared" si="0"/>
        <v>1.875</v>
      </c>
      <c r="F18" s="1">
        <f t="shared" si="1"/>
        <v>43.875</v>
      </c>
      <c r="G18" s="1">
        <f t="shared" si="2"/>
        <v>39</v>
      </c>
    </row>
    <row r="19" spans="3:7" x14ac:dyDescent="0.25">
      <c r="C19" s="1">
        <v>13.5</v>
      </c>
      <c r="D19" s="1">
        <v>14</v>
      </c>
      <c r="E19" s="1">
        <f t="shared" si="0"/>
        <v>1.625</v>
      </c>
      <c r="F19" s="1">
        <f t="shared" si="1"/>
        <v>45.5</v>
      </c>
      <c r="G19" s="1">
        <f t="shared" si="2"/>
        <v>42</v>
      </c>
    </row>
    <row r="20" spans="3:7" x14ac:dyDescent="0.25">
      <c r="C20" s="1">
        <v>14.5</v>
      </c>
      <c r="D20" s="1">
        <v>15</v>
      </c>
      <c r="E20" s="1">
        <f t="shared" si="0"/>
        <v>1.375</v>
      </c>
      <c r="F20" s="1">
        <f t="shared" si="1"/>
        <v>46.875</v>
      </c>
      <c r="G20" s="1">
        <f t="shared" si="2"/>
        <v>45</v>
      </c>
    </row>
    <row r="21" spans="3:7" x14ac:dyDescent="0.25">
      <c r="C21" s="1">
        <v>15.5</v>
      </c>
      <c r="D21" s="1">
        <v>16</v>
      </c>
      <c r="E21" s="1">
        <f t="shared" si="0"/>
        <v>1.125</v>
      </c>
      <c r="F21" s="1">
        <f t="shared" si="1"/>
        <v>48</v>
      </c>
      <c r="G21" s="1">
        <f t="shared" si="2"/>
        <v>48</v>
      </c>
    </row>
    <row r="22" spans="3:7" x14ac:dyDescent="0.25">
      <c r="C22" s="1">
        <v>16.5</v>
      </c>
      <c r="D22" s="1">
        <v>17</v>
      </c>
      <c r="E22" s="1">
        <f t="shared" si="0"/>
        <v>0.875</v>
      </c>
      <c r="F22" s="1">
        <f t="shared" si="1"/>
        <v>48.875</v>
      </c>
      <c r="G22" s="1">
        <f t="shared" si="2"/>
        <v>51</v>
      </c>
    </row>
    <row r="23" spans="3:7" x14ac:dyDescent="0.25">
      <c r="C23" s="1">
        <v>17.5</v>
      </c>
      <c r="D23" s="1">
        <v>18</v>
      </c>
      <c r="E23" s="1">
        <f t="shared" si="0"/>
        <v>0.625</v>
      </c>
      <c r="F23" s="1">
        <f t="shared" si="1"/>
        <v>49.5</v>
      </c>
      <c r="G23" s="1">
        <f t="shared" si="2"/>
        <v>54</v>
      </c>
    </row>
    <row r="24" spans="3:7" x14ac:dyDescent="0.25">
      <c r="C24" s="1">
        <v>18.5</v>
      </c>
      <c r="D24" s="1">
        <v>19</v>
      </c>
      <c r="E24" s="1">
        <f t="shared" si="0"/>
        <v>0.375</v>
      </c>
      <c r="F24" s="1">
        <f t="shared" si="1"/>
        <v>49.875</v>
      </c>
      <c r="G24" s="1">
        <f t="shared" si="2"/>
        <v>57</v>
      </c>
    </row>
    <row r="25" spans="3:7" x14ac:dyDescent="0.25">
      <c r="C25" s="1">
        <v>19.5</v>
      </c>
      <c r="D25" s="1">
        <v>20</v>
      </c>
      <c r="E25" s="1">
        <f t="shared" si="0"/>
        <v>0.125</v>
      </c>
      <c r="F25" s="1">
        <f>F24+E25</f>
        <v>50</v>
      </c>
      <c r="G25" s="1">
        <f t="shared" si="2"/>
        <v>60</v>
      </c>
    </row>
  </sheetData>
  <phoneticPr fontId="0" type="noConversion"/>
  <printOptions headings="1" gridLines="1"/>
  <pageMargins left="0.75" right="0.75" top="1" bottom="1" header="0.5" footer="0.5"/>
  <pageSetup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J25"/>
  <sheetViews>
    <sheetView tabSelected="1" topLeftCell="C6" workbookViewId="0">
      <selection activeCell="M18" sqref="M18"/>
    </sheetView>
  </sheetViews>
  <sheetFormatPr defaultColWidth="9.109375" defaultRowHeight="13.2" x14ac:dyDescent="0.25"/>
  <cols>
    <col min="1" max="5" width="9.109375" style="1"/>
    <col min="6" max="6" width="11.6640625" style="1" customWidth="1"/>
    <col min="7" max="7" width="13.5546875" style="1" customWidth="1"/>
    <col min="8" max="8" width="13" style="1" customWidth="1"/>
    <col min="9" max="16384" width="9.109375" style="1"/>
  </cols>
  <sheetData>
    <row r="1" spans="3:10" x14ac:dyDescent="0.25">
      <c r="F1" s="1">
        <v>0</v>
      </c>
      <c r="H1" s="1" t="s">
        <v>11</v>
      </c>
      <c r="I1" s="1">
        <f>IF(H4&gt;0,MATCH(H4,H6:H25,0),0)</f>
        <v>0</v>
      </c>
    </row>
    <row r="2" spans="3:10" x14ac:dyDescent="0.25">
      <c r="C2" s="1" t="s">
        <v>5</v>
      </c>
      <c r="E2" s="1" t="s">
        <v>17</v>
      </c>
      <c r="F2" s="4">
        <v>5</v>
      </c>
      <c r="H2" s="1" t="s">
        <v>12</v>
      </c>
      <c r="I2" s="3"/>
    </row>
    <row r="3" spans="3:10" x14ac:dyDescent="0.25">
      <c r="C3" s="1">
        <v>2</v>
      </c>
      <c r="E3" s="1" t="s">
        <v>18</v>
      </c>
      <c r="F3" s="4">
        <v>3</v>
      </c>
      <c r="H3" s="1" t="s">
        <v>13</v>
      </c>
      <c r="I3" s="3"/>
    </row>
    <row r="4" spans="3:10" x14ac:dyDescent="0.25">
      <c r="G4" s="1" t="s">
        <v>14</v>
      </c>
    </row>
    <row r="5" spans="3:10" x14ac:dyDescent="0.25">
      <c r="C5" s="1" t="s">
        <v>16</v>
      </c>
      <c r="D5" s="1" t="s">
        <v>2</v>
      </c>
      <c r="E5" s="1" t="s">
        <v>3</v>
      </c>
      <c r="F5" s="1" t="s">
        <v>4</v>
      </c>
      <c r="G5" s="1" t="s">
        <v>9</v>
      </c>
      <c r="H5" s="1" t="s">
        <v>10</v>
      </c>
      <c r="J5" s="1" t="s">
        <v>15</v>
      </c>
    </row>
    <row r="6" spans="3:10" x14ac:dyDescent="0.25">
      <c r="C6" s="1">
        <v>0.5</v>
      </c>
      <c r="D6" s="1">
        <v>1</v>
      </c>
      <c r="E6" s="1">
        <f>5-0.25*C6</f>
        <v>4.875</v>
      </c>
      <c r="F6" s="1">
        <f>E6</f>
        <v>4.875</v>
      </c>
      <c r="G6" s="1">
        <f>$F$2+D6*$F$3</f>
        <v>8</v>
      </c>
      <c r="J6" s="3"/>
    </row>
    <row r="7" spans="3:10" x14ac:dyDescent="0.25">
      <c r="C7" s="1">
        <v>1.5</v>
      </c>
      <c r="D7" s="1">
        <v>2</v>
      </c>
      <c r="E7" s="1">
        <f t="shared" ref="E7:E25" si="0">5-0.25*C7</f>
        <v>4.625</v>
      </c>
      <c r="F7" s="1">
        <f t="shared" ref="F7:F24" si="1">F6+E7</f>
        <v>9.5</v>
      </c>
      <c r="G7" s="1">
        <f t="shared" ref="G7:G25" si="2">$F$2+D7*$F$3</f>
        <v>11</v>
      </c>
    </row>
    <row r="8" spans="3:10" x14ac:dyDescent="0.25">
      <c r="C8" s="1">
        <v>2.5</v>
      </c>
      <c r="D8" s="1">
        <v>3</v>
      </c>
      <c r="E8" s="1">
        <f t="shared" si="0"/>
        <v>4.375</v>
      </c>
      <c r="F8" s="1">
        <f t="shared" si="1"/>
        <v>13.875</v>
      </c>
      <c r="G8" s="1">
        <f t="shared" si="2"/>
        <v>14</v>
      </c>
    </row>
    <row r="9" spans="3:10" x14ac:dyDescent="0.25">
      <c r="C9" s="1">
        <v>3.5</v>
      </c>
      <c r="D9" s="1">
        <v>4</v>
      </c>
      <c r="E9" s="1">
        <f t="shared" si="0"/>
        <v>4.125</v>
      </c>
      <c r="F9" s="1">
        <f t="shared" si="1"/>
        <v>18</v>
      </c>
      <c r="G9" s="1">
        <f t="shared" si="2"/>
        <v>17</v>
      </c>
    </row>
    <row r="10" spans="3:10" x14ac:dyDescent="0.25">
      <c r="C10" s="1">
        <v>4.5</v>
      </c>
      <c r="D10" s="1">
        <v>5</v>
      </c>
      <c r="E10" s="1">
        <f t="shared" si="0"/>
        <v>3.875</v>
      </c>
      <c r="F10" s="1">
        <f t="shared" si="1"/>
        <v>21.875</v>
      </c>
      <c r="G10" s="1">
        <f t="shared" si="2"/>
        <v>20</v>
      </c>
    </row>
    <row r="11" spans="3:10" x14ac:dyDescent="0.25">
      <c r="C11" s="1">
        <v>5.5</v>
      </c>
      <c r="D11" s="1">
        <v>6</v>
      </c>
      <c r="E11" s="1">
        <f t="shared" si="0"/>
        <v>3.625</v>
      </c>
      <c r="F11" s="1">
        <f t="shared" si="1"/>
        <v>25.5</v>
      </c>
      <c r="G11" s="1">
        <f t="shared" si="2"/>
        <v>23</v>
      </c>
    </row>
    <row r="12" spans="3:10" x14ac:dyDescent="0.25">
      <c r="C12" s="1">
        <v>6.5</v>
      </c>
      <c r="D12" s="1">
        <v>7</v>
      </c>
      <c r="E12" s="1">
        <f t="shared" si="0"/>
        <v>3.375</v>
      </c>
      <c r="F12" s="1">
        <f t="shared" si="1"/>
        <v>28.875</v>
      </c>
      <c r="G12" s="1">
        <f t="shared" si="2"/>
        <v>26</v>
      </c>
    </row>
    <row r="13" spans="3:10" x14ac:dyDescent="0.25">
      <c r="C13" s="1">
        <v>7.5</v>
      </c>
      <c r="D13" s="1">
        <v>8</v>
      </c>
      <c r="E13" s="1">
        <f t="shared" si="0"/>
        <v>3.125</v>
      </c>
      <c r="F13" s="1">
        <f t="shared" si="1"/>
        <v>32</v>
      </c>
      <c r="G13" s="1">
        <f t="shared" si="2"/>
        <v>29</v>
      </c>
    </row>
    <row r="14" spans="3:10" x14ac:dyDescent="0.25">
      <c r="C14" s="1">
        <v>8.5</v>
      </c>
      <c r="D14" s="1">
        <v>9</v>
      </c>
      <c r="E14" s="1">
        <f t="shared" si="0"/>
        <v>2.875</v>
      </c>
      <c r="F14" s="1">
        <f t="shared" si="1"/>
        <v>34.875</v>
      </c>
      <c r="G14" s="1">
        <f t="shared" si="2"/>
        <v>32</v>
      </c>
    </row>
    <row r="15" spans="3:10" x14ac:dyDescent="0.25">
      <c r="C15" s="1">
        <v>9.5</v>
      </c>
      <c r="D15" s="1">
        <v>10</v>
      </c>
      <c r="E15" s="1">
        <f t="shared" si="0"/>
        <v>2.625</v>
      </c>
      <c r="F15" s="1">
        <f t="shared" si="1"/>
        <v>37.5</v>
      </c>
      <c r="G15" s="1">
        <f t="shared" si="2"/>
        <v>35</v>
      </c>
    </row>
    <row r="16" spans="3:10" x14ac:dyDescent="0.25">
      <c r="C16" s="1">
        <v>10.5</v>
      </c>
      <c r="D16" s="1">
        <v>11</v>
      </c>
      <c r="E16" s="1">
        <f t="shared" si="0"/>
        <v>2.375</v>
      </c>
      <c r="F16" s="1">
        <f t="shared" si="1"/>
        <v>39.875</v>
      </c>
      <c r="G16" s="1">
        <f t="shared" si="2"/>
        <v>38</v>
      </c>
    </row>
    <row r="17" spans="3:7" x14ac:dyDescent="0.25">
      <c r="C17" s="1">
        <v>11.5</v>
      </c>
      <c r="D17" s="1">
        <v>12</v>
      </c>
      <c r="E17" s="1">
        <f t="shared" si="0"/>
        <v>2.125</v>
      </c>
      <c r="F17" s="1">
        <f t="shared" si="1"/>
        <v>42</v>
      </c>
      <c r="G17" s="1">
        <f t="shared" si="2"/>
        <v>41</v>
      </c>
    </row>
    <row r="18" spans="3:7" x14ac:dyDescent="0.25">
      <c r="C18" s="1">
        <v>12.5</v>
      </c>
      <c r="D18" s="1">
        <v>13</v>
      </c>
      <c r="E18" s="1">
        <f t="shared" si="0"/>
        <v>1.875</v>
      </c>
      <c r="F18" s="1">
        <f t="shared" si="1"/>
        <v>43.875</v>
      </c>
      <c r="G18" s="1">
        <f t="shared" si="2"/>
        <v>44</v>
      </c>
    </row>
    <row r="19" spans="3:7" x14ac:dyDescent="0.25">
      <c r="C19" s="1">
        <v>13.5</v>
      </c>
      <c r="D19" s="1">
        <v>14</v>
      </c>
      <c r="E19" s="1">
        <f t="shared" si="0"/>
        <v>1.625</v>
      </c>
      <c r="F19" s="1">
        <f t="shared" si="1"/>
        <v>45.5</v>
      </c>
      <c r="G19" s="1">
        <f t="shared" si="2"/>
        <v>47</v>
      </c>
    </row>
    <row r="20" spans="3:7" x14ac:dyDescent="0.25">
      <c r="C20" s="1">
        <v>14.5</v>
      </c>
      <c r="D20" s="1">
        <v>15</v>
      </c>
      <c r="E20" s="1">
        <f t="shared" si="0"/>
        <v>1.375</v>
      </c>
      <c r="F20" s="1">
        <f t="shared" si="1"/>
        <v>46.875</v>
      </c>
      <c r="G20" s="1">
        <f t="shared" si="2"/>
        <v>50</v>
      </c>
    </row>
    <row r="21" spans="3:7" x14ac:dyDescent="0.25">
      <c r="C21" s="1">
        <v>15.5</v>
      </c>
      <c r="D21" s="1">
        <v>16</v>
      </c>
      <c r="E21" s="1">
        <f t="shared" si="0"/>
        <v>1.125</v>
      </c>
      <c r="F21" s="1">
        <f t="shared" si="1"/>
        <v>48</v>
      </c>
      <c r="G21" s="1">
        <f t="shared" si="2"/>
        <v>53</v>
      </c>
    </row>
    <row r="22" spans="3:7" x14ac:dyDescent="0.25">
      <c r="C22" s="1">
        <v>16.5</v>
      </c>
      <c r="D22" s="1">
        <v>17</v>
      </c>
      <c r="E22" s="1">
        <f t="shared" si="0"/>
        <v>0.875</v>
      </c>
      <c r="F22" s="1">
        <f t="shared" si="1"/>
        <v>48.875</v>
      </c>
      <c r="G22" s="1">
        <f t="shared" si="2"/>
        <v>56</v>
      </c>
    </row>
    <row r="23" spans="3:7" x14ac:dyDescent="0.25">
      <c r="C23" s="1">
        <v>17.5</v>
      </c>
      <c r="D23" s="1">
        <v>18</v>
      </c>
      <c r="E23" s="1">
        <f t="shared" si="0"/>
        <v>0.625</v>
      </c>
      <c r="F23" s="1">
        <f t="shared" si="1"/>
        <v>49.5</v>
      </c>
      <c r="G23" s="1">
        <f t="shared" si="2"/>
        <v>59</v>
      </c>
    </row>
    <row r="24" spans="3:7" x14ac:dyDescent="0.25">
      <c r="C24" s="1">
        <v>18.5</v>
      </c>
      <c r="D24" s="1">
        <v>19</v>
      </c>
      <c r="E24" s="1">
        <f t="shared" si="0"/>
        <v>0.375</v>
      </c>
      <c r="F24" s="1">
        <f t="shared" si="1"/>
        <v>49.875</v>
      </c>
      <c r="G24" s="1">
        <f t="shared" si="2"/>
        <v>62</v>
      </c>
    </row>
    <row r="25" spans="3:7" x14ac:dyDescent="0.25">
      <c r="C25" s="1">
        <v>19.5</v>
      </c>
      <c r="D25" s="1">
        <v>20</v>
      </c>
      <c r="E25" s="1">
        <f t="shared" si="0"/>
        <v>0.125</v>
      </c>
      <c r="F25" s="1">
        <f>F24+E25</f>
        <v>50</v>
      </c>
      <c r="G25" s="1">
        <f t="shared" si="2"/>
        <v>65</v>
      </c>
    </row>
  </sheetData>
  <phoneticPr fontId="0" type="noConversion"/>
  <printOptions headings="1" gridLines="1"/>
  <pageMargins left="0.75" right="0.75" top="1" bottom="1" header="0.5" footer="0.5"/>
  <pageSetup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oneprice</vt:lpstr>
      <vt:lpstr>qd</vt:lpstr>
      <vt:lpstr>qd2</vt:lpstr>
      <vt:lpstr>tpt</vt:lpstr>
    </vt:vector>
  </TitlesOfParts>
  <Company>Kelley School of Business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 Services</dc:creator>
  <cp:lastModifiedBy>swagato</cp:lastModifiedBy>
  <cp:lastPrinted>2002-08-20T14:02:28Z</cp:lastPrinted>
  <dcterms:created xsi:type="dcterms:W3CDTF">2002-06-29T16:17:29Z</dcterms:created>
  <dcterms:modified xsi:type="dcterms:W3CDTF">2019-11-25T10:42:07Z</dcterms:modified>
</cp:coreProperties>
</file>