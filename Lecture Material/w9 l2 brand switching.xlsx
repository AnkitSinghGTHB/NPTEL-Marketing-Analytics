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5360" windowHeight="7752"/>
  </bookViews>
  <sheets>
    <sheet name="Sheet1" sheetId="1" r:id="rId1"/>
    <sheet name="MS prediction" sheetId="2" r:id="rId2"/>
    <sheet name="Staying back" sheetId="3" r:id="rId3"/>
    <sheet name="Long term prob" sheetId="4" r:id="rId4"/>
    <sheet name="long term prob2" sheetId="5" r:id="rId5"/>
  </sheets>
  <definedNames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'Long term prob'!$B$13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2" l="1" a="1"/>
  <c r="L22" i="2" s="1"/>
  <c r="O22" i="2"/>
  <c r="L20" i="2" a="1"/>
  <c r="L20" i="2" s="1"/>
  <c r="O20" i="2"/>
  <c r="L18" i="2" a="1"/>
  <c r="L18" i="2" s="1"/>
  <c r="O18" i="2"/>
  <c r="B22" i="2" a="1"/>
  <c r="B22" i="2" s="1"/>
  <c r="B20" i="2" a="1"/>
  <c r="B20" i="2" s="1"/>
  <c r="E20" i="2"/>
  <c r="B18" i="2" a="1"/>
  <c r="B18" i="2"/>
  <c r="C18" i="2"/>
  <c r="D18" i="2"/>
  <c r="E18" i="2"/>
  <c r="F18" i="2"/>
  <c r="G18" i="2"/>
  <c r="H18" i="2"/>
  <c r="R22" i="2" l="1"/>
  <c r="N22" i="2"/>
  <c r="Q22" i="2"/>
  <c r="M22" i="2"/>
  <c r="P22" i="2"/>
  <c r="R20" i="2"/>
  <c r="N20" i="2"/>
  <c r="Q20" i="2"/>
  <c r="M20" i="2"/>
  <c r="P20" i="2"/>
  <c r="R18" i="2"/>
  <c r="N18" i="2"/>
  <c r="Q18" i="2"/>
  <c r="M18" i="2"/>
  <c r="P18" i="2"/>
  <c r="E22" i="2"/>
  <c r="H22" i="2"/>
  <c r="D22" i="2"/>
  <c r="G22" i="2"/>
  <c r="C22" i="2"/>
  <c r="F22" i="2"/>
  <c r="H20" i="2"/>
  <c r="D20" i="2"/>
  <c r="G20" i="2"/>
  <c r="C20" i="2"/>
  <c r="F20" i="2"/>
  <c r="H19" i="4"/>
  <c r="L13" i="4" a="1"/>
  <c r="L13" i="4" s="1"/>
  <c r="L18" i="4" l="1"/>
  <c r="L16" i="4"/>
  <c r="L14" i="4"/>
  <c r="L19" i="4"/>
  <c r="L17" i="4"/>
  <c r="L15" i="4"/>
  <c r="G18" i="4" l="1"/>
  <c r="F17" i="4"/>
  <c r="D15" i="4"/>
  <c r="C14" i="4"/>
  <c r="B13" i="4"/>
</calcChain>
</file>

<file path=xl/sharedStrings.xml><?xml version="1.0" encoding="utf-8"?>
<sst xmlns="http://schemas.openxmlformats.org/spreadsheetml/2006/main" count="207" uniqueCount="28">
  <si>
    <t>No promotion transition prob</t>
  </si>
  <si>
    <t>Ariel</t>
  </si>
  <si>
    <t>Henko</t>
  </si>
  <si>
    <t>Rin</t>
  </si>
  <si>
    <t>Sudz</t>
  </si>
  <si>
    <t>Surf</t>
  </si>
  <si>
    <t>Tide</t>
  </si>
  <si>
    <t>Wheel</t>
  </si>
  <si>
    <t>With promotion transition prob</t>
  </si>
  <si>
    <t>Initial No promotion</t>
  </si>
  <si>
    <t>Initial with promotion</t>
  </si>
  <si>
    <t>Avg price no promotion (per gram)</t>
  </si>
  <si>
    <t>Market Share After 3 periods under promotion</t>
  </si>
  <si>
    <t>Final Promotion</t>
  </si>
  <si>
    <t>Period 1</t>
  </si>
  <si>
    <t>Period 2</t>
  </si>
  <si>
    <t>Period 3</t>
  </si>
  <si>
    <t>Market Share After 3 periods without promotion</t>
  </si>
  <si>
    <t>What percentage of Sudz customer will retain after 3 period under promotion and 3 periods without promotion</t>
  </si>
  <si>
    <t>Long Term Probability with no promotion</t>
  </si>
  <si>
    <t>Long Term Probability with promotion</t>
  </si>
  <si>
    <t>Brand1</t>
  </si>
  <si>
    <t>Brand2</t>
  </si>
  <si>
    <t>Brand3</t>
  </si>
  <si>
    <t>Brand4</t>
  </si>
  <si>
    <t>Brand5</t>
  </si>
  <si>
    <t>Brand6</t>
  </si>
  <si>
    <t>Brand7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</si>
</sst>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J11" sqref="J11"/>
    </sheetView>
  </sheetViews>
  <sheetFormatPr defaultRowHeight="14.4" x14ac:dyDescent="0.3"/>
  <sheetData>
    <row r="1" spans="1:8" x14ac:dyDescent="0.3">
      <c r="A1" s="1" t="s">
        <v>0</v>
      </c>
    </row>
    <row r="2" spans="1:8" x14ac:dyDescent="0.3">
      <c r="B2" t="s">
        <v>21</v>
      </c>
      <c r="C2" t="s">
        <v>22</v>
      </c>
      <c r="D2" t="s">
        <v>23</v>
      </c>
      <c r="E2" s="1" t="s">
        <v>24</v>
      </c>
      <c r="F2" t="s">
        <v>25</v>
      </c>
      <c r="G2" t="s">
        <v>26</v>
      </c>
      <c r="H2" t="s">
        <v>27</v>
      </c>
    </row>
    <row r="3" spans="1:8" x14ac:dyDescent="0.3">
      <c r="A3" t="s">
        <v>21</v>
      </c>
      <c r="B3">
        <v>0.44</v>
      </c>
      <c r="C3">
        <v>0</v>
      </c>
      <c r="D3">
        <v>0.13</v>
      </c>
      <c r="E3">
        <v>0.01</v>
      </c>
      <c r="F3">
        <v>0.22</v>
      </c>
      <c r="G3">
        <v>0.13</v>
      </c>
      <c r="H3">
        <v>7.0000000000000007E-2</v>
      </c>
    </row>
    <row r="4" spans="1:8" x14ac:dyDescent="0.3">
      <c r="A4" t="s">
        <v>22</v>
      </c>
      <c r="B4">
        <v>0.02</v>
      </c>
      <c r="C4">
        <v>0.42</v>
      </c>
      <c r="D4">
        <v>0.05</v>
      </c>
      <c r="E4">
        <v>0.02</v>
      </c>
      <c r="F4">
        <v>0.11</v>
      </c>
      <c r="G4">
        <v>0.12</v>
      </c>
      <c r="H4">
        <v>0.26</v>
      </c>
    </row>
    <row r="5" spans="1:8" x14ac:dyDescent="0.3">
      <c r="A5" t="s">
        <v>23</v>
      </c>
      <c r="B5">
        <v>0.06</v>
      </c>
      <c r="C5">
        <v>0.01</v>
      </c>
      <c r="D5">
        <v>0.59</v>
      </c>
      <c r="E5">
        <v>0.05</v>
      </c>
      <c r="F5">
        <v>0.15</v>
      </c>
      <c r="G5">
        <v>7.0000000000000007E-2</v>
      </c>
      <c r="H5">
        <v>7.0000000000000007E-2</v>
      </c>
    </row>
    <row r="6" spans="1:8" x14ac:dyDescent="0.3">
      <c r="A6" s="1" t="s">
        <v>24</v>
      </c>
      <c r="B6">
        <v>0.01</v>
      </c>
      <c r="C6">
        <v>0.01</v>
      </c>
      <c r="D6">
        <v>0.16</v>
      </c>
      <c r="E6">
        <v>0.4</v>
      </c>
      <c r="F6">
        <v>0.22</v>
      </c>
      <c r="G6">
        <v>0.13</v>
      </c>
      <c r="H6">
        <v>7.0000000000000007E-2</v>
      </c>
    </row>
    <row r="7" spans="1:8" x14ac:dyDescent="0.3">
      <c r="A7" t="s">
        <v>25</v>
      </c>
      <c r="B7">
        <v>0.06</v>
      </c>
      <c r="C7">
        <v>0.01</v>
      </c>
      <c r="D7">
        <v>0.1</v>
      </c>
      <c r="E7">
        <v>0.04</v>
      </c>
      <c r="F7">
        <v>0.62</v>
      </c>
      <c r="G7">
        <v>0.1</v>
      </c>
      <c r="H7">
        <v>7.0000000000000007E-2</v>
      </c>
    </row>
    <row r="8" spans="1:8" x14ac:dyDescent="0.3">
      <c r="A8" t="s">
        <v>26</v>
      </c>
      <c r="B8">
        <v>7.0000000000000007E-2</v>
      </c>
      <c r="C8">
        <v>0.02</v>
      </c>
      <c r="D8">
        <v>0.09</v>
      </c>
      <c r="E8">
        <v>0.02</v>
      </c>
      <c r="F8">
        <v>0.17</v>
      </c>
      <c r="G8">
        <v>0.52</v>
      </c>
      <c r="H8">
        <v>0.11</v>
      </c>
    </row>
    <row r="9" spans="1:8" x14ac:dyDescent="0.3">
      <c r="A9" t="s">
        <v>27</v>
      </c>
      <c r="B9">
        <v>0.06</v>
      </c>
      <c r="C9">
        <v>0.06</v>
      </c>
      <c r="D9">
        <v>0.14000000000000001</v>
      </c>
      <c r="E9">
        <v>0.03</v>
      </c>
      <c r="F9">
        <v>0.24</v>
      </c>
      <c r="G9">
        <v>0.17</v>
      </c>
      <c r="H9">
        <v>0.3</v>
      </c>
    </row>
    <row r="11" spans="1:8" x14ac:dyDescent="0.3">
      <c r="A11" s="1" t="s">
        <v>8</v>
      </c>
    </row>
    <row r="12" spans="1:8" x14ac:dyDescent="0.3">
      <c r="B12" t="s">
        <v>21</v>
      </c>
      <c r="C12" t="s">
        <v>22</v>
      </c>
      <c r="D12" t="s">
        <v>23</v>
      </c>
      <c r="E12" s="1" t="s">
        <v>24</v>
      </c>
      <c r="F12" t="s">
        <v>25</v>
      </c>
      <c r="G12" t="s">
        <v>26</v>
      </c>
      <c r="H12" t="s">
        <v>27</v>
      </c>
    </row>
    <row r="13" spans="1:8" x14ac:dyDescent="0.3">
      <c r="A13" t="s">
        <v>21</v>
      </c>
      <c r="B13">
        <v>0.42</v>
      </c>
      <c r="C13">
        <v>0</v>
      </c>
      <c r="D13">
        <v>0.09</v>
      </c>
      <c r="E13">
        <v>0.11</v>
      </c>
      <c r="F13">
        <v>0.23</v>
      </c>
      <c r="G13">
        <v>7.0000000000000007E-2</v>
      </c>
      <c r="H13">
        <v>0.08</v>
      </c>
    </row>
    <row r="14" spans="1:8" x14ac:dyDescent="0.3">
      <c r="A14" t="s">
        <v>22</v>
      </c>
      <c r="B14">
        <v>0</v>
      </c>
      <c r="C14">
        <v>0.53</v>
      </c>
      <c r="D14">
        <v>0.17</v>
      </c>
      <c r="E14">
        <v>0</v>
      </c>
      <c r="F14">
        <v>0.17</v>
      </c>
      <c r="G14">
        <v>7.0000000000000007E-2</v>
      </c>
      <c r="H14">
        <v>0.06</v>
      </c>
    </row>
    <row r="15" spans="1:8" x14ac:dyDescent="0.3">
      <c r="A15" t="s">
        <v>23</v>
      </c>
      <c r="B15">
        <v>0.04</v>
      </c>
      <c r="C15">
        <v>0.02</v>
      </c>
      <c r="D15">
        <v>0.62</v>
      </c>
      <c r="E15">
        <v>0.06</v>
      </c>
      <c r="F15">
        <v>0.13</v>
      </c>
      <c r="G15">
        <v>0.05</v>
      </c>
      <c r="H15">
        <v>0.08</v>
      </c>
    </row>
    <row r="16" spans="1:8" x14ac:dyDescent="0.3">
      <c r="A16" s="1" t="s">
        <v>24</v>
      </c>
      <c r="B16">
        <v>0.01</v>
      </c>
      <c r="C16">
        <v>0.01</v>
      </c>
      <c r="D16">
        <v>0.18</v>
      </c>
      <c r="E16">
        <v>0.48</v>
      </c>
      <c r="F16">
        <v>0.21</v>
      </c>
      <c r="G16">
        <v>0.06</v>
      </c>
      <c r="H16">
        <v>0.05</v>
      </c>
    </row>
    <row r="17" spans="1:8" x14ac:dyDescent="0.3">
      <c r="A17" t="s">
        <v>25</v>
      </c>
      <c r="B17">
        <v>0.05</v>
      </c>
      <c r="C17">
        <v>0.02</v>
      </c>
      <c r="D17">
        <v>7.0000000000000007E-2</v>
      </c>
      <c r="E17">
        <v>7.0000000000000007E-2</v>
      </c>
      <c r="F17">
        <v>0.59</v>
      </c>
      <c r="G17">
        <v>0.1</v>
      </c>
      <c r="H17">
        <v>0.1</v>
      </c>
    </row>
    <row r="18" spans="1:8" x14ac:dyDescent="0.3">
      <c r="A18" t="s">
        <v>26</v>
      </c>
      <c r="B18">
        <v>7.0000000000000007E-2</v>
      </c>
      <c r="C18">
        <v>0.01</v>
      </c>
      <c r="D18">
        <v>0.08</v>
      </c>
      <c r="E18">
        <v>0.03</v>
      </c>
      <c r="F18">
        <v>0.2</v>
      </c>
      <c r="G18">
        <v>0.46</v>
      </c>
      <c r="H18">
        <v>0.15</v>
      </c>
    </row>
    <row r="19" spans="1:8" x14ac:dyDescent="0.3">
      <c r="A19" t="s">
        <v>27</v>
      </c>
      <c r="B19">
        <v>7.0000000000000007E-2</v>
      </c>
      <c r="C19">
        <v>0.05</v>
      </c>
      <c r="D19">
        <v>0.15</v>
      </c>
      <c r="E19">
        <v>0.04</v>
      </c>
      <c r="F19">
        <v>0.22</v>
      </c>
      <c r="G19">
        <v>0.17</v>
      </c>
      <c r="H19">
        <v>0.3</v>
      </c>
    </row>
    <row r="21" spans="1:8" x14ac:dyDescent="0.3">
      <c r="A21" s="1" t="s">
        <v>9</v>
      </c>
    </row>
    <row r="22" spans="1:8" x14ac:dyDescent="0.3"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</row>
    <row r="23" spans="1:8" x14ac:dyDescent="0.3">
      <c r="B23">
        <v>8.4199999999999997E-2</v>
      </c>
      <c r="C23">
        <v>3.5000000000000003E-2</v>
      </c>
      <c r="D23">
        <v>0.20849999999999999</v>
      </c>
      <c r="E23">
        <v>5.3100000000000001E-2</v>
      </c>
      <c r="F23">
        <v>0.2979</v>
      </c>
      <c r="G23">
        <v>0.23319999999999999</v>
      </c>
      <c r="H23">
        <v>8.8099999999999998E-2</v>
      </c>
    </row>
    <row r="24" spans="1:8" x14ac:dyDescent="0.3">
      <c r="A24" s="1" t="s">
        <v>10</v>
      </c>
    </row>
    <row r="25" spans="1:8" x14ac:dyDescent="0.3"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</row>
    <row r="26" spans="1:8" x14ac:dyDescent="0.3">
      <c r="B26">
        <v>6.8400000000000002E-2</v>
      </c>
      <c r="C26">
        <v>5.4199999999999998E-2</v>
      </c>
      <c r="D26">
        <v>0.2079</v>
      </c>
      <c r="E26">
        <v>6.2700000000000006E-2</v>
      </c>
      <c r="F26">
        <v>0.33900000000000002</v>
      </c>
      <c r="G26">
        <v>0.18229999999999999</v>
      </c>
      <c r="H26">
        <v>8.5500000000000007E-2</v>
      </c>
    </row>
    <row r="27" spans="1:8" x14ac:dyDescent="0.3">
      <c r="A27" s="1" t="s">
        <v>11</v>
      </c>
    </row>
    <row r="28" spans="1:8" x14ac:dyDescent="0.3"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</row>
    <row r="29" spans="1:8" x14ac:dyDescent="0.3">
      <c r="B29">
        <v>0.1666</v>
      </c>
      <c r="C29">
        <v>0.1227</v>
      </c>
      <c r="D29">
        <v>6.0999999999999999E-2</v>
      </c>
      <c r="E29">
        <v>5.5E-2</v>
      </c>
      <c r="F29">
        <v>0.1404</v>
      </c>
      <c r="G29">
        <v>7.6499999999999999E-2</v>
      </c>
      <c r="H29">
        <v>3.7100000000000001E-2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opLeftCell="A7" zoomScale="110" zoomScaleNormal="110" workbookViewId="0">
      <selection activeCell="J17" sqref="J17"/>
    </sheetView>
  </sheetViews>
  <sheetFormatPr defaultRowHeight="14.4" x14ac:dyDescent="0.3"/>
  <sheetData>
    <row r="1" spans="1:18" x14ac:dyDescent="0.3">
      <c r="A1" s="2" t="s">
        <v>12</v>
      </c>
      <c r="K1" s="2" t="s">
        <v>17</v>
      </c>
    </row>
    <row r="3" spans="1:18" x14ac:dyDescent="0.3">
      <c r="A3" s="1" t="s">
        <v>8</v>
      </c>
      <c r="K3" s="1" t="s">
        <v>0</v>
      </c>
    </row>
    <row r="4" spans="1:18" x14ac:dyDescent="0.3">
      <c r="B4" t="s">
        <v>21</v>
      </c>
      <c r="C4" t="s">
        <v>22</v>
      </c>
      <c r="D4" t="s">
        <v>23</v>
      </c>
      <c r="E4" s="1" t="s">
        <v>24</v>
      </c>
      <c r="F4" t="s">
        <v>25</v>
      </c>
      <c r="G4" t="s">
        <v>26</v>
      </c>
      <c r="H4" t="s">
        <v>27</v>
      </c>
      <c r="L4" t="s">
        <v>21</v>
      </c>
      <c r="M4" t="s">
        <v>22</v>
      </c>
      <c r="N4" t="s">
        <v>23</v>
      </c>
      <c r="O4" s="1" t="s">
        <v>24</v>
      </c>
      <c r="P4" t="s">
        <v>25</v>
      </c>
      <c r="Q4" t="s">
        <v>26</v>
      </c>
      <c r="R4" t="s">
        <v>27</v>
      </c>
    </row>
    <row r="5" spans="1:18" x14ac:dyDescent="0.3">
      <c r="A5" t="s">
        <v>21</v>
      </c>
      <c r="B5">
        <v>0.42</v>
      </c>
      <c r="C5">
        <v>0</v>
      </c>
      <c r="D5">
        <v>0.09</v>
      </c>
      <c r="E5">
        <v>0.11</v>
      </c>
      <c r="F5">
        <v>0.23</v>
      </c>
      <c r="G5">
        <v>7.0000000000000007E-2</v>
      </c>
      <c r="H5">
        <v>0.08</v>
      </c>
      <c r="K5" t="s">
        <v>21</v>
      </c>
      <c r="L5">
        <v>0.44</v>
      </c>
      <c r="M5">
        <v>0</v>
      </c>
      <c r="N5">
        <v>0.13</v>
      </c>
      <c r="O5">
        <v>0.01</v>
      </c>
      <c r="P5">
        <v>0.22</v>
      </c>
      <c r="Q5">
        <v>0.13</v>
      </c>
      <c r="R5">
        <v>7.0000000000000007E-2</v>
      </c>
    </row>
    <row r="6" spans="1:18" x14ac:dyDescent="0.3">
      <c r="A6" t="s">
        <v>22</v>
      </c>
      <c r="B6">
        <v>0</v>
      </c>
      <c r="C6">
        <v>0.53</v>
      </c>
      <c r="D6">
        <v>0.17</v>
      </c>
      <c r="E6">
        <v>0</v>
      </c>
      <c r="F6">
        <v>0.17</v>
      </c>
      <c r="G6">
        <v>7.0000000000000007E-2</v>
      </c>
      <c r="H6">
        <v>0.06</v>
      </c>
      <c r="K6" t="s">
        <v>22</v>
      </c>
      <c r="L6">
        <v>0.02</v>
      </c>
      <c r="M6">
        <v>0.42</v>
      </c>
      <c r="N6">
        <v>0.05</v>
      </c>
      <c r="O6">
        <v>0.02</v>
      </c>
      <c r="P6">
        <v>0.11</v>
      </c>
      <c r="Q6">
        <v>0.12</v>
      </c>
      <c r="R6">
        <v>0.26</v>
      </c>
    </row>
    <row r="7" spans="1:18" x14ac:dyDescent="0.3">
      <c r="A7" t="s">
        <v>23</v>
      </c>
      <c r="B7">
        <v>0.04</v>
      </c>
      <c r="C7">
        <v>0.02</v>
      </c>
      <c r="D7">
        <v>0.62</v>
      </c>
      <c r="E7">
        <v>0.06</v>
      </c>
      <c r="F7">
        <v>0.13</v>
      </c>
      <c r="G7">
        <v>0.05</v>
      </c>
      <c r="H7">
        <v>0.08</v>
      </c>
      <c r="K7" t="s">
        <v>23</v>
      </c>
      <c r="L7">
        <v>0.06</v>
      </c>
      <c r="M7">
        <v>0.01</v>
      </c>
      <c r="N7">
        <v>0.59</v>
      </c>
      <c r="O7">
        <v>0.05</v>
      </c>
      <c r="P7">
        <v>0.15</v>
      </c>
      <c r="Q7">
        <v>7.0000000000000007E-2</v>
      </c>
      <c r="R7">
        <v>7.0000000000000007E-2</v>
      </c>
    </row>
    <row r="8" spans="1:18" x14ac:dyDescent="0.3">
      <c r="A8" s="1" t="s">
        <v>24</v>
      </c>
      <c r="B8">
        <v>0.01</v>
      </c>
      <c r="C8">
        <v>0.01</v>
      </c>
      <c r="D8">
        <v>0.18</v>
      </c>
      <c r="E8">
        <v>0.48</v>
      </c>
      <c r="F8">
        <v>0.21</v>
      </c>
      <c r="G8">
        <v>0.06</v>
      </c>
      <c r="H8">
        <v>0.05</v>
      </c>
      <c r="K8" s="1" t="s">
        <v>24</v>
      </c>
      <c r="L8">
        <v>0.01</v>
      </c>
      <c r="M8">
        <v>0.01</v>
      </c>
      <c r="N8">
        <v>0.16</v>
      </c>
      <c r="O8">
        <v>0.4</v>
      </c>
      <c r="P8">
        <v>0.22</v>
      </c>
      <c r="Q8">
        <v>0.13</v>
      </c>
      <c r="R8">
        <v>7.0000000000000007E-2</v>
      </c>
    </row>
    <row r="9" spans="1:18" x14ac:dyDescent="0.3">
      <c r="A9" t="s">
        <v>25</v>
      </c>
      <c r="B9">
        <v>0.05</v>
      </c>
      <c r="C9">
        <v>0.02</v>
      </c>
      <c r="D9">
        <v>7.0000000000000007E-2</v>
      </c>
      <c r="E9">
        <v>7.0000000000000007E-2</v>
      </c>
      <c r="F9">
        <v>0.59</v>
      </c>
      <c r="G9">
        <v>0.1</v>
      </c>
      <c r="H9">
        <v>0.1</v>
      </c>
      <c r="K9" t="s">
        <v>25</v>
      </c>
      <c r="L9">
        <v>0.06</v>
      </c>
      <c r="M9">
        <v>0.01</v>
      </c>
      <c r="N9">
        <v>0.1</v>
      </c>
      <c r="O9">
        <v>0.04</v>
      </c>
      <c r="P9">
        <v>0.62</v>
      </c>
      <c r="Q9">
        <v>0.1</v>
      </c>
      <c r="R9">
        <v>7.0000000000000007E-2</v>
      </c>
    </row>
    <row r="10" spans="1:18" x14ac:dyDescent="0.3">
      <c r="A10" t="s">
        <v>26</v>
      </c>
      <c r="B10">
        <v>7.0000000000000007E-2</v>
      </c>
      <c r="C10">
        <v>0.01</v>
      </c>
      <c r="D10">
        <v>0.08</v>
      </c>
      <c r="E10">
        <v>0.03</v>
      </c>
      <c r="F10">
        <v>0.2</v>
      </c>
      <c r="G10">
        <v>0.46</v>
      </c>
      <c r="H10">
        <v>0.15</v>
      </c>
      <c r="K10" t="s">
        <v>26</v>
      </c>
      <c r="L10">
        <v>7.0000000000000007E-2</v>
      </c>
      <c r="M10">
        <v>0.02</v>
      </c>
      <c r="N10">
        <v>0.09</v>
      </c>
      <c r="O10">
        <v>0.02</v>
      </c>
      <c r="P10">
        <v>0.17</v>
      </c>
      <c r="Q10">
        <v>0.52</v>
      </c>
      <c r="R10">
        <v>0.11</v>
      </c>
    </row>
    <row r="11" spans="1:18" x14ac:dyDescent="0.3">
      <c r="A11" t="s">
        <v>27</v>
      </c>
      <c r="B11">
        <v>7.0000000000000007E-2</v>
      </c>
      <c r="C11">
        <v>0.05</v>
      </c>
      <c r="D11">
        <v>0.15</v>
      </c>
      <c r="E11">
        <v>0.04</v>
      </c>
      <c r="F11">
        <v>0.22</v>
      </c>
      <c r="G11">
        <v>0.17</v>
      </c>
      <c r="H11">
        <v>0.3</v>
      </c>
      <c r="K11" t="s">
        <v>27</v>
      </c>
      <c r="L11">
        <v>0.06</v>
      </c>
      <c r="M11">
        <v>0.06</v>
      </c>
      <c r="N11">
        <v>0.14000000000000001</v>
      </c>
      <c r="O11">
        <v>0.03</v>
      </c>
      <c r="P11">
        <v>0.24</v>
      </c>
      <c r="Q11">
        <v>0.17</v>
      </c>
      <c r="R11">
        <v>0.3</v>
      </c>
    </row>
    <row r="13" spans="1:18" x14ac:dyDescent="0.3">
      <c r="A13" s="1" t="s">
        <v>10</v>
      </c>
      <c r="K13" s="1" t="s">
        <v>9</v>
      </c>
    </row>
    <row r="14" spans="1:18" x14ac:dyDescent="0.3">
      <c r="B14" t="s">
        <v>21</v>
      </c>
      <c r="C14" t="s">
        <v>22</v>
      </c>
      <c r="D14" t="s">
        <v>23</v>
      </c>
      <c r="E14" s="1" t="s">
        <v>24</v>
      </c>
      <c r="F14" t="s">
        <v>25</v>
      </c>
      <c r="G14" t="s">
        <v>26</v>
      </c>
      <c r="H14" t="s">
        <v>27</v>
      </c>
      <c r="L14" t="s">
        <v>21</v>
      </c>
      <c r="M14" t="s">
        <v>22</v>
      </c>
      <c r="N14" t="s">
        <v>23</v>
      </c>
      <c r="O14" s="1" t="s">
        <v>24</v>
      </c>
      <c r="P14" t="s">
        <v>25</v>
      </c>
      <c r="Q14" t="s">
        <v>26</v>
      </c>
      <c r="R14" t="s">
        <v>27</v>
      </c>
    </row>
    <row r="15" spans="1:18" x14ac:dyDescent="0.3">
      <c r="B15">
        <v>7.0000000000000007E-2</v>
      </c>
      <c r="C15">
        <v>0.03</v>
      </c>
      <c r="D15">
        <v>0.23</v>
      </c>
      <c r="E15">
        <v>0.06</v>
      </c>
      <c r="F15">
        <v>0.34</v>
      </c>
      <c r="G15">
        <v>0.18</v>
      </c>
      <c r="H15">
        <v>0.09</v>
      </c>
      <c r="L15">
        <v>0.08</v>
      </c>
      <c r="M15">
        <v>0.04</v>
      </c>
      <c r="N15">
        <v>0.21</v>
      </c>
      <c r="O15">
        <v>0.05</v>
      </c>
      <c r="P15">
        <v>0.3</v>
      </c>
      <c r="Q15">
        <v>0.23</v>
      </c>
      <c r="R15">
        <v>0.09</v>
      </c>
    </row>
    <row r="16" spans="1:18" x14ac:dyDescent="0.3">
      <c r="A16" s="1" t="s">
        <v>13</v>
      </c>
      <c r="K16" s="1" t="s">
        <v>13</v>
      </c>
    </row>
    <row r="17" spans="1:18" x14ac:dyDescent="0.3">
      <c r="A17" t="s">
        <v>14</v>
      </c>
      <c r="B17" t="s">
        <v>21</v>
      </c>
      <c r="C17" t="s">
        <v>22</v>
      </c>
      <c r="D17" t="s">
        <v>23</v>
      </c>
      <c r="E17" s="1" t="s">
        <v>24</v>
      </c>
      <c r="F17" t="s">
        <v>25</v>
      </c>
      <c r="G17" t="s">
        <v>26</v>
      </c>
      <c r="H17" t="s">
        <v>27</v>
      </c>
      <c r="K17" t="s">
        <v>14</v>
      </c>
      <c r="L17" t="s">
        <v>21</v>
      </c>
      <c r="M17" t="s">
        <v>22</v>
      </c>
      <c r="N17" t="s">
        <v>23</v>
      </c>
      <c r="O17" s="1" t="s">
        <v>24</v>
      </c>
      <c r="P17" t="s">
        <v>25</v>
      </c>
      <c r="Q17" t="s">
        <v>26</v>
      </c>
      <c r="R17" t="s">
        <v>27</v>
      </c>
    </row>
    <row r="18" spans="1:18" x14ac:dyDescent="0.3">
      <c r="B18">
        <f t="array" ref="B18:H18">MMULT(B15:H15,$B$5:$H$11)</f>
        <v>7.51E-2</v>
      </c>
      <c r="C18">
        <v>3.4200000000000001E-2</v>
      </c>
      <c r="D18">
        <v>0.21650000000000003</v>
      </c>
      <c r="E18">
        <v>8.3100000000000007E-2</v>
      </c>
      <c r="F18">
        <v>0.32009999999999994</v>
      </c>
      <c r="G18">
        <v>0.1542</v>
      </c>
      <c r="H18">
        <v>0.11679999999999999</v>
      </c>
      <c r="L18">
        <f t="array" ref="L18:R18">MMULT(L15:R15,L5:R11)</f>
        <v>8.8600000000000012E-2</v>
      </c>
      <c r="M18">
        <v>3.2399999999999998E-2</v>
      </c>
      <c r="N18">
        <v>0.20759999999999998</v>
      </c>
      <c r="O18">
        <v>5.1400000000000001E-2</v>
      </c>
      <c r="P18">
        <v>0.31120000000000003</v>
      </c>
      <c r="Q18">
        <v>0.20130000000000001</v>
      </c>
      <c r="R18">
        <v>0.1075</v>
      </c>
    </row>
    <row r="19" spans="1:18" x14ac:dyDescent="0.3">
      <c r="A19" t="s">
        <v>15</v>
      </c>
      <c r="B19" t="s">
        <v>21</v>
      </c>
      <c r="C19" t="s">
        <v>22</v>
      </c>
      <c r="D19" t="s">
        <v>23</v>
      </c>
      <c r="E19" s="1" t="s">
        <v>24</v>
      </c>
      <c r="F19" t="s">
        <v>25</v>
      </c>
      <c r="G19" t="s">
        <v>26</v>
      </c>
      <c r="H19" t="s">
        <v>27</v>
      </c>
      <c r="K19" t="s">
        <v>15</v>
      </c>
      <c r="L19" t="s">
        <v>21</v>
      </c>
      <c r="M19" t="s">
        <v>22</v>
      </c>
      <c r="N19" t="s">
        <v>23</v>
      </c>
      <c r="O19" s="1" t="s">
        <v>24</v>
      </c>
      <c r="P19" t="s">
        <v>25</v>
      </c>
      <c r="Q19" t="s">
        <v>26</v>
      </c>
      <c r="R19" t="s">
        <v>27</v>
      </c>
    </row>
    <row r="20" spans="1:18" x14ac:dyDescent="0.3">
      <c r="B20">
        <f t="array" ref="B20:H20">MMULT(B18:H18,B5:H11)</f>
        <v>7.6008000000000006E-2</v>
      </c>
      <c r="C20">
        <v>3.7071E-2</v>
      </c>
      <c r="D20">
        <v>0.21402400000000002</v>
      </c>
      <c r="E20">
        <v>9.2843999999999996E-2</v>
      </c>
      <c r="F20">
        <v>0.31407799999999991</v>
      </c>
      <c r="G20">
        <v>0.14626</v>
      </c>
      <c r="H20">
        <v>0.11971499999999999</v>
      </c>
      <c r="L20">
        <f t="array" ref="L20:R20">MMULT(L18:R18,L5:R11)</f>
        <v>9.1815000000000008E-2</v>
      </c>
      <c r="M20">
        <v>2.9785999999999997E-2</v>
      </c>
      <c r="N20">
        <v>0.20813300000000001</v>
      </c>
      <c r="O20">
        <v>5.2173000000000004E-2</v>
      </c>
      <c r="P20">
        <v>0.318469</v>
      </c>
      <c r="Q20">
        <v>0.190691</v>
      </c>
      <c r="R20">
        <v>0.108933</v>
      </c>
    </row>
    <row r="21" spans="1:18" x14ac:dyDescent="0.3">
      <c r="A21" t="s">
        <v>16</v>
      </c>
      <c r="B21" t="s">
        <v>21</v>
      </c>
      <c r="C21" t="s">
        <v>22</v>
      </c>
      <c r="D21" t="s">
        <v>23</v>
      </c>
      <c r="E21" s="1" t="s">
        <v>24</v>
      </c>
      <c r="F21" t="s">
        <v>25</v>
      </c>
      <c r="G21" t="s">
        <v>26</v>
      </c>
      <c r="H21" t="s">
        <v>27</v>
      </c>
      <c r="K21" t="s">
        <v>16</v>
      </c>
      <c r="L21" t="s">
        <v>21</v>
      </c>
      <c r="M21" t="s">
        <v>22</v>
      </c>
      <c r="N21" t="s">
        <v>23</v>
      </c>
      <c r="O21" s="1" t="s">
        <v>24</v>
      </c>
      <c r="P21" t="s">
        <v>25</v>
      </c>
      <c r="Q21" t="s">
        <v>26</v>
      </c>
      <c r="R21" t="s">
        <v>27</v>
      </c>
    </row>
    <row r="22" spans="1:18" x14ac:dyDescent="0.3">
      <c r="B22">
        <f t="array" ref="B22:H22">MMULT(B20:H20,B5:H11)</f>
        <v>7.5734910000000003E-2</v>
      </c>
      <c r="C22">
        <v>3.8586459999999996E-2</v>
      </c>
      <c r="D22">
        <v>0.21419310000000003</v>
      </c>
      <c r="E22">
        <v>9.692930000000001E-2</v>
      </c>
      <c r="F22">
        <v>0.31199958999999994</v>
      </c>
      <c r="G22">
        <v>0.14322631999999999</v>
      </c>
      <c r="H22">
        <v>0.11933031999999999</v>
      </c>
      <c r="L22">
        <f t="array" ref="L22:R22">MMULT(L20:R20,L5:R11)</f>
        <v>9.2996519999999999E-2</v>
      </c>
      <c r="M22">
        <v>2.8647669999999997E-2</v>
      </c>
      <c r="N22">
        <v>0.20883110999999999</v>
      </c>
      <c r="O22">
        <v>5.2610290000000011E-2</v>
      </c>
      <c r="P22">
        <v>0.32218594</v>
      </c>
      <c r="Q22">
        <v>0.18638690000000002</v>
      </c>
      <c r="R22">
        <v>0.10834157000000001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3" sqref="A3:H11"/>
    </sheetView>
  </sheetViews>
  <sheetFormatPr defaultRowHeight="14.4" x14ac:dyDescent="0.3"/>
  <sheetData>
    <row r="1" spans="1:8" x14ac:dyDescent="0.3">
      <c r="A1" s="2" t="s">
        <v>18</v>
      </c>
    </row>
    <row r="3" spans="1:8" x14ac:dyDescent="0.3">
      <c r="A3" s="1" t="s">
        <v>8</v>
      </c>
    </row>
    <row r="4" spans="1:8" x14ac:dyDescent="0.3">
      <c r="B4" t="s">
        <v>21</v>
      </c>
      <c r="C4" t="s">
        <v>22</v>
      </c>
      <c r="D4" t="s">
        <v>23</v>
      </c>
      <c r="E4" s="1" t="s">
        <v>24</v>
      </c>
      <c r="F4" t="s">
        <v>25</v>
      </c>
      <c r="G4" t="s">
        <v>26</v>
      </c>
      <c r="H4" t="s">
        <v>27</v>
      </c>
    </row>
    <row r="5" spans="1:8" x14ac:dyDescent="0.3">
      <c r="A5" t="s">
        <v>21</v>
      </c>
      <c r="B5">
        <v>0.42</v>
      </c>
      <c r="C5">
        <v>0</v>
      </c>
      <c r="D5">
        <v>0.09</v>
      </c>
      <c r="E5">
        <v>0.11</v>
      </c>
      <c r="F5">
        <v>0.23</v>
      </c>
      <c r="G5">
        <v>7.0000000000000007E-2</v>
      </c>
      <c r="H5">
        <v>0.08</v>
      </c>
    </row>
    <row r="6" spans="1:8" x14ac:dyDescent="0.3">
      <c r="A6" t="s">
        <v>22</v>
      </c>
      <c r="B6">
        <v>0</v>
      </c>
      <c r="C6">
        <v>0.53</v>
      </c>
      <c r="D6">
        <v>0.17</v>
      </c>
      <c r="E6">
        <v>0</v>
      </c>
      <c r="F6">
        <v>0.17</v>
      </c>
      <c r="G6">
        <v>7.0000000000000007E-2</v>
      </c>
      <c r="H6">
        <v>0.06</v>
      </c>
    </row>
    <row r="7" spans="1:8" x14ac:dyDescent="0.3">
      <c r="A7" t="s">
        <v>23</v>
      </c>
      <c r="B7">
        <v>0.04</v>
      </c>
      <c r="C7">
        <v>0.02</v>
      </c>
      <c r="D7">
        <v>0.62</v>
      </c>
      <c r="E7">
        <v>0.06</v>
      </c>
      <c r="F7">
        <v>0.13</v>
      </c>
      <c r="G7">
        <v>0.05</v>
      </c>
      <c r="H7">
        <v>0.08</v>
      </c>
    </row>
    <row r="8" spans="1:8" x14ac:dyDescent="0.3">
      <c r="A8" s="1" t="s">
        <v>24</v>
      </c>
      <c r="B8">
        <v>0.01</v>
      </c>
      <c r="C8">
        <v>0.01</v>
      </c>
      <c r="D8">
        <v>0.18</v>
      </c>
      <c r="E8">
        <v>0.48</v>
      </c>
      <c r="F8">
        <v>0.21</v>
      </c>
      <c r="G8">
        <v>0.06</v>
      </c>
      <c r="H8">
        <v>0.05</v>
      </c>
    </row>
    <row r="9" spans="1:8" x14ac:dyDescent="0.3">
      <c r="A9" t="s">
        <v>25</v>
      </c>
      <c r="B9">
        <v>0.05</v>
      </c>
      <c r="C9">
        <v>0.02</v>
      </c>
      <c r="D9">
        <v>7.0000000000000007E-2</v>
      </c>
      <c r="E9">
        <v>7.0000000000000007E-2</v>
      </c>
      <c r="F9">
        <v>0.59</v>
      </c>
      <c r="G9">
        <v>0.1</v>
      </c>
      <c r="H9">
        <v>0.1</v>
      </c>
    </row>
    <row r="10" spans="1:8" x14ac:dyDescent="0.3">
      <c r="A10" t="s">
        <v>26</v>
      </c>
      <c r="B10">
        <v>7.0000000000000007E-2</v>
      </c>
      <c r="C10">
        <v>0.01</v>
      </c>
      <c r="D10">
        <v>0.08</v>
      </c>
      <c r="E10">
        <v>0.03</v>
      </c>
      <c r="F10">
        <v>0.2</v>
      </c>
      <c r="G10">
        <v>0.46</v>
      </c>
      <c r="H10">
        <v>0.15</v>
      </c>
    </row>
    <row r="11" spans="1:8" x14ac:dyDescent="0.3">
      <c r="A11" t="s">
        <v>27</v>
      </c>
      <c r="B11">
        <v>7.0000000000000007E-2</v>
      </c>
      <c r="C11">
        <v>0.05</v>
      </c>
      <c r="D11">
        <v>0.15</v>
      </c>
      <c r="E11">
        <v>0.04</v>
      </c>
      <c r="F11">
        <v>0.22</v>
      </c>
      <c r="G11">
        <v>0.17</v>
      </c>
      <c r="H11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90" zoomScaleNormal="90" workbookViewId="0">
      <selection activeCell="K13" sqref="K13:K19"/>
    </sheetView>
  </sheetViews>
  <sheetFormatPr defaultRowHeight="14.4" x14ac:dyDescent="0.3"/>
  <sheetData>
    <row r="1" spans="1:14" x14ac:dyDescent="0.3">
      <c r="A1" s="2" t="s">
        <v>19</v>
      </c>
    </row>
    <row r="2" spans="1:14" x14ac:dyDescent="0.3">
      <c r="A2" s="1" t="s">
        <v>0</v>
      </c>
    </row>
    <row r="3" spans="1:14" x14ac:dyDescent="0.3">
      <c r="B3" t="s">
        <v>21</v>
      </c>
      <c r="C3" t="s">
        <v>22</v>
      </c>
      <c r="D3" t="s">
        <v>23</v>
      </c>
      <c r="E3" s="1" t="s">
        <v>24</v>
      </c>
      <c r="F3" t="s">
        <v>25</v>
      </c>
      <c r="G3" t="s">
        <v>26</v>
      </c>
      <c r="H3" t="s">
        <v>27</v>
      </c>
    </row>
    <row r="4" spans="1:14" x14ac:dyDescent="0.3">
      <c r="A4" t="s">
        <v>21</v>
      </c>
      <c r="B4">
        <v>0.44</v>
      </c>
      <c r="C4">
        <v>0</v>
      </c>
      <c r="D4">
        <v>0.13</v>
      </c>
      <c r="E4">
        <v>0.01</v>
      </c>
      <c r="F4">
        <v>0.22</v>
      </c>
      <c r="G4">
        <v>0.13</v>
      </c>
      <c r="H4">
        <v>7.0000000000000007E-2</v>
      </c>
    </row>
    <row r="5" spans="1:14" x14ac:dyDescent="0.3">
      <c r="A5" t="s">
        <v>22</v>
      </c>
      <c r="B5">
        <v>0.02</v>
      </c>
      <c r="C5">
        <v>0.42</v>
      </c>
      <c r="D5">
        <v>0.05</v>
      </c>
      <c r="E5">
        <v>0.02</v>
      </c>
      <c r="F5">
        <v>0.11</v>
      </c>
      <c r="G5">
        <v>0.12</v>
      </c>
      <c r="H5">
        <v>0.26</v>
      </c>
    </row>
    <row r="6" spans="1:14" x14ac:dyDescent="0.3">
      <c r="A6" t="s">
        <v>23</v>
      </c>
      <c r="B6">
        <v>0.06</v>
      </c>
      <c r="C6">
        <v>0.01</v>
      </c>
      <c r="D6">
        <v>0.59</v>
      </c>
      <c r="E6">
        <v>0.05</v>
      </c>
      <c r="F6">
        <v>0.15</v>
      </c>
      <c r="G6">
        <v>7.0000000000000007E-2</v>
      </c>
      <c r="H6">
        <v>7.0000000000000007E-2</v>
      </c>
    </row>
    <row r="7" spans="1:14" x14ac:dyDescent="0.3">
      <c r="A7" s="1" t="s">
        <v>24</v>
      </c>
      <c r="B7">
        <v>0.01</v>
      </c>
      <c r="C7">
        <v>0.01</v>
      </c>
      <c r="D7">
        <v>0.16</v>
      </c>
      <c r="E7">
        <v>0.4</v>
      </c>
      <c r="F7">
        <v>0.22</v>
      </c>
      <c r="G7">
        <v>0.13</v>
      </c>
      <c r="H7">
        <v>7.0000000000000007E-2</v>
      </c>
    </row>
    <row r="8" spans="1:14" x14ac:dyDescent="0.3">
      <c r="A8" t="s">
        <v>25</v>
      </c>
      <c r="B8">
        <v>0.06</v>
      </c>
      <c r="C8">
        <v>0.01</v>
      </c>
      <c r="D8">
        <v>0.1</v>
      </c>
      <c r="E8">
        <v>0.04</v>
      </c>
      <c r="F8">
        <v>0.62</v>
      </c>
      <c r="G8">
        <v>0.1</v>
      </c>
      <c r="H8">
        <v>7.0000000000000007E-2</v>
      </c>
    </row>
    <row r="9" spans="1:14" x14ac:dyDescent="0.3">
      <c r="A9" t="s">
        <v>26</v>
      </c>
      <c r="B9">
        <v>7.0000000000000007E-2</v>
      </c>
      <c r="C9">
        <v>0.02</v>
      </c>
      <c r="D9">
        <v>0.09</v>
      </c>
      <c r="E9">
        <v>0.02</v>
      </c>
      <c r="F9">
        <v>0.17</v>
      </c>
      <c r="G9">
        <v>0.52</v>
      </c>
      <c r="H9">
        <v>0.11</v>
      </c>
    </row>
    <row r="10" spans="1:14" x14ac:dyDescent="0.3">
      <c r="A10" t="s">
        <v>27</v>
      </c>
      <c r="B10">
        <v>0.06</v>
      </c>
      <c r="C10">
        <v>0.06</v>
      </c>
      <c r="D10">
        <v>0.14000000000000001</v>
      </c>
      <c r="E10">
        <v>0.03</v>
      </c>
      <c r="F10">
        <v>0.24</v>
      </c>
      <c r="G10">
        <v>0.17</v>
      </c>
      <c r="H10">
        <v>0.3</v>
      </c>
    </row>
    <row r="13" spans="1:14" x14ac:dyDescent="0.3">
      <c r="B13">
        <f>0.4351-1</f>
        <v>-0.56489999999999996</v>
      </c>
      <c r="C13">
        <v>1.7100000000000001E-2</v>
      </c>
      <c r="D13">
        <v>5.6399999999999999E-2</v>
      </c>
      <c r="E13">
        <v>1.49E-2</v>
      </c>
      <c r="F13">
        <v>6.13E-2</v>
      </c>
      <c r="G13">
        <v>7.3700000000000002E-2</v>
      </c>
      <c r="H13">
        <v>5.5300000000000002E-2</v>
      </c>
      <c r="J13">
        <v>0</v>
      </c>
      <c r="K13" t="s">
        <v>21</v>
      </c>
      <c r="L13">
        <f t="array" ref="L13:L19">MMULT(MINVERSE(B13:H19),J13:J19)</f>
        <v>9.2988248366699736E-2</v>
      </c>
      <c r="N13">
        <v>9.2988248366699777E-2</v>
      </c>
    </row>
    <row r="14" spans="1:14" x14ac:dyDescent="0.3">
      <c r="B14">
        <v>3.2000000000000002E-3</v>
      </c>
      <c r="C14">
        <f>0.4203-1</f>
        <v>-0.57969999999999999</v>
      </c>
      <c r="D14">
        <v>9.1000000000000004E-3</v>
      </c>
      <c r="E14">
        <v>8.5000000000000006E-3</v>
      </c>
      <c r="F14">
        <v>9.1999999999999998E-3</v>
      </c>
      <c r="G14">
        <v>2.01E-2</v>
      </c>
      <c r="H14">
        <v>6.3799999999999996E-2</v>
      </c>
      <c r="J14">
        <v>0</v>
      </c>
      <c r="K14" t="s">
        <v>22</v>
      </c>
      <c r="L14">
        <v>2.736447022687474E-2</v>
      </c>
      <c r="N14">
        <v>2.736447022687474E-2</v>
      </c>
    </row>
    <row r="15" spans="1:14" x14ac:dyDescent="0.3">
      <c r="B15">
        <v>0.13159999999999999</v>
      </c>
      <c r="C15">
        <v>5.4199999999999998E-2</v>
      </c>
      <c r="D15">
        <f>0.5941-1</f>
        <v>-0.40590000000000004</v>
      </c>
      <c r="E15">
        <v>0.16339999999999999</v>
      </c>
      <c r="F15">
        <v>0.1045</v>
      </c>
      <c r="G15">
        <v>8.5699999999999998E-2</v>
      </c>
      <c r="H15">
        <v>0.1401</v>
      </c>
      <c r="J15">
        <v>0</v>
      </c>
      <c r="K15" t="s">
        <v>23</v>
      </c>
      <c r="L15">
        <v>0.21345418750497561</v>
      </c>
      <c r="N15">
        <v>0.21345418750497561</v>
      </c>
    </row>
    <row r="16" spans="1:14" x14ac:dyDescent="0.3"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J16">
        <v>1</v>
      </c>
      <c r="K16" s="1" t="s">
        <v>24</v>
      </c>
      <c r="L16">
        <v>5.368478865390449E-2</v>
      </c>
      <c r="N16">
        <v>5.3684788653904365E-2</v>
      </c>
    </row>
    <row r="17" spans="2:14" x14ac:dyDescent="0.3">
      <c r="B17">
        <v>0.2225</v>
      </c>
      <c r="C17">
        <v>0.10879999999999999</v>
      </c>
      <c r="D17">
        <v>0.15040000000000001</v>
      </c>
      <c r="E17">
        <v>0.2185</v>
      </c>
      <c r="F17">
        <f>0.6235-1</f>
        <v>-0.37649999999999995</v>
      </c>
      <c r="G17">
        <v>0.16930000000000001</v>
      </c>
      <c r="H17">
        <v>0.2424</v>
      </c>
      <c r="J17">
        <v>0</v>
      </c>
      <c r="K17" t="s">
        <v>25</v>
      </c>
      <c r="L17">
        <v>0.32721808136661396</v>
      </c>
      <c r="N17">
        <v>0.32721808136661407</v>
      </c>
    </row>
    <row r="18" spans="2:14" x14ac:dyDescent="0.3">
      <c r="B18">
        <v>0.1308</v>
      </c>
      <c r="C18">
        <v>0.124</v>
      </c>
      <c r="D18">
        <v>7.2099999999999997E-2</v>
      </c>
      <c r="E18">
        <v>0.13139999999999999</v>
      </c>
      <c r="F18">
        <v>9.7500000000000003E-2</v>
      </c>
      <c r="G18">
        <f>0.5247-1</f>
        <v>-0.47529999999999994</v>
      </c>
      <c r="H18">
        <v>0.1739</v>
      </c>
      <c r="J18">
        <v>0</v>
      </c>
      <c r="K18" t="s">
        <v>26</v>
      </c>
      <c r="L18">
        <v>0.18409737863349881</v>
      </c>
      <c r="N18">
        <v>0.18409737863349884</v>
      </c>
    </row>
    <row r="19" spans="2:14" x14ac:dyDescent="0.3">
      <c r="B19">
        <v>6.2100000000000002E-2</v>
      </c>
      <c r="C19">
        <v>0.25569999999999998</v>
      </c>
      <c r="D19">
        <v>6.88E-2</v>
      </c>
      <c r="E19">
        <v>5.9900000000000002E-2</v>
      </c>
      <c r="F19">
        <v>6.4500000000000002E-2</v>
      </c>
      <c r="G19">
        <v>0.10780000000000001</v>
      </c>
      <c r="H19">
        <f>0.2922-1</f>
        <v>-0.70779999999999998</v>
      </c>
      <c r="J19">
        <v>0</v>
      </c>
      <c r="K19" t="s">
        <v>27</v>
      </c>
      <c r="L19">
        <v>0.10119284524743273</v>
      </c>
      <c r="N19">
        <v>0.10119284524743266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J16" sqref="J16"/>
    </sheetView>
  </sheetViews>
  <sheetFormatPr defaultRowHeight="14.4" x14ac:dyDescent="0.3"/>
  <sheetData>
    <row r="1" spans="1:8" x14ac:dyDescent="0.3">
      <c r="A1" s="2" t="s">
        <v>20</v>
      </c>
    </row>
    <row r="2" spans="1:8" x14ac:dyDescent="0.3">
      <c r="A2" s="1" t="s">
        <v>8</v>
      </c>
    </row>
    <row r="3" spans="1:8" x14ac:dyDescent="0.3">
      <c r="B3" t="s">
        <v>21</v>
      </c>
      <c r="C3" t="s">
        <v>22</v>
      </c>
      <c r="D3" t="s">
        <v>23</v>
      </c>
      <c r="E3" s="1" t="s">
        <v>24</v>
      </c>
      <c r="F3" t="s">
        <v>25</v>
      </c>
      <c r="G3" t="s">
        <v>26</v>
      </c>
      <c r="H3" t="s">
        <v>27</v>
      </c>
    </row>
    <row r="4" spans="1:8" x14ac:dyDescent="0.3">
      <c r="A4" t="s">
        <v>21</v>
      </c>
      <c r="B4">
        <v>0.42</v>
      </c>
      <c r="C4">
        <v>0</v>
      </c>
      <c r="D4">
        <v>0.09</v>
      </c>
      <c r="E4">
        <v>0.11</v>
      </c>
      <c r="F4">
        <v>0.23</v>
      </c>
      <c r="G4">
        <v>7.0000000000000007E-2</v>
      </c>
      <c r="H4">
        <v>0.08</v>
      </c>
    </row>
    <row r="5" spans="1:8" x14ac:dyDescent="0.3">
      <c r="A5" t="s">
        <v>22</v>
      </c>
      <c r="B5">
        <v>0</v>
      </c>
      <c r="C5">
        <v>0.53</v>
      </c>
      <c r="D5">
        <v>0.17</v>
      </c>
      <c r="E5">
        <v>0</v>
      </c>
      <c r="F5">
        <v>0.17</v>
      </c>
      <c r="G5">
        <v>7.0000000000000007E-2</v>
      </c>
      <c r="H5">
        <v>0.06</v>
      </c>
    </row>
    <row r="6" spans="1:8" x14ac:dyDescent="0.3">
      <c r="A6" t="s">
        <v>23</v>
      </c>
      <c r="B6">
        <v>0.04</v>
      </c>
      <c r="C6">
        <v>0.02</v>
      </c>
      <c r="D6">
        <v>0.62</v>
      </c>
      <c r="E6">
        <v>0.06</v>
      </c>
      <c r="F6">
        <v>0.13</v>
      </c>
      <c r="G6">
        <v>0.05</v>
      </c>
      <c r="H6">
        <v>0.08</v>
      </c>
    </row>
    <row r="7" spans="1:8" x14ac:dyDescent="0.3">
      <c r="A7" s="1" t="s">
        <v>24</v>
      </c>
      <c r="B7">
        <v>0.01</v>
      </c>
      <c r="C7">
        <v>0.01</v>
      </c>
      <c r="D7">
        <v>0.18</v>
      </c>
      <c r="E7">
        <v>0.48</v>
      </c>
      <c r="F7">
        <v>0.21</v>
      </c>
      <c r="G7">
        <v>0.06</v>
      </c>
      <c r="H7">
        <v>0.05</v>
      </c>
    </row>
    <row r="8" spans="1:8" x14ac:dyDescent="0.3">
      <c r="A8" t="s">
        <v>25</v>
      </c>
      <c r="B8">
        <v>0.05</v>
      </c>
      <c r="C8">
        <v>0.02</v>
      </c>
      <c r="D8">
        <v>7.0000000000000007E-2</v>
      </c>
      <c r="E8">
        <v>7.0000000000000007E-2</v>
      </c>
      <c r="F8">
        <v>0.59</v>
      </c>
      <c r="G8">
        <v>0.1</v>
      </c>
      <c r="H8">
        <v>0.1</v>
      </c>
    </row>
    <row r="9" spans="1:8" x14ac:dyDescent="0.3">
      <c r="A9" t="s">
        <v>26</v>
      </c>
      <c r="B9">
        <v>7.0000000000000007E-2</v>
      </c>
      <c r="C9">
        <v>0.01</v>
      </c>
      <c r="D9">
        <v>0.08</v>
      </c>
      <c r="E9">
        <v>0.03</v>
      </c>
      <c r="F9">
        <v>0.2</v>
      </c>
      <c r="G9">
        <v>0.46</v>
      </c>
      <c r="H9">
        <v>0.15</v>
      </c>
    </row>
    <row r="10" spans="1:8" x14ac:dyDescent="0.3">
      <c r="A10" t="s">
        <v>27</v>
      </c>
      <c r="B10">
        <v>7.0000000000000007E-2</v>
      </c>
      <c r="C10">
        <v>0.05</v>
      </c>
      <c r="D10">
        <v>0.15</v>
      </c>
      <c r="E10">
        <v>0.04</v>
      </c>
      <c r="F10">
        <v>0.22</v>
      </c>
      <c r="G10">
        <v>0.17</v>
      </c>
      <c r="H10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MS prediction</vt:lpstr>
      <vt:lpstr>Staying back</vt:lpstr>
      <vt:lpstr>Long term prob</vt:lpstr>
      <vt:lpstr>long term prob2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2020-02-13T04:36:41Z</dcterms:modified>
</cp:coreProperties>
</file>