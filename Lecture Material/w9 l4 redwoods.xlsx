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3"/>
  </bookViews>
  <sheets>
    <sheet name="Comparison" sheetId="4" r:id="rId1"/>
    <sheet name="Assumptions" sheetId="1" r:id="rId2"/>
    <sheet name="CLV without Corporate Branding" sheetId="2" r:id="rId3"/>
    <sheet name="CLV with Corporate Branding" sheetId="3" r:id="rId4"/>
    <sheet name="Post Comparison" sheetId="6" r:id="rId5"/>
  </sheets>
  <calcPr calcId="152511"/>
</workbook>
</file>

<file path=xl/calcChain.xml><?xml version="1.0" encoding="utf-8"?>
<calcChain xmlns="http://schemas.openxmlformats.org/spreadsheetml/2006/main">
  <c r="H9" i="3" l="1"/>
  <c r="G9" i="3"/>
  <c r="F9" i="3"/>
  <c r="E9" i="3"/>
  <c r="D9" i="3"/>
  <c r="C9" i="3"/>
  <c r="B9" i="3"/>
  <c r="E5" i="2"/>
  <c r="F5" i="2"/>
  <c r="G5" i="2" s="1"/>
  <c r="H5" i="2" s="1"/>
  <c r="D5" i="2"/>
  <c r="B10" i="3" l="1"/>
  <c r="B12" i="3" s="1"/>
  <c r="B14" i="3" s="1"/>
  <c r="E11" i="3"/>
  <c r="F11" i="3"/>
  <c r="G11" i="3" s="1"/>
  <c r="H11" i="3" s="1"/>
  <c r="D11" i="3"/>
  <c r="C13" i="3"/>
  <c r="D13" i="3" s="1"/>
  <c r="E13" i="3" s="1"/>
  <c r="F13" i="3" s="1"/>
  <c r="G13" i="3" s="1"/>
  <c r="H13" i="3" s="1"/>
  <c r="C6" i="3"/>
  <c r="C7" i="3" s="1"/>
  <c r="C10" i="3" s="1"/>
  <c r="C12" i="3" s="1"/>
  <c r="C14" i="3" s="1"/>
  <c r="E5" i="3"/>
  <c r="F5" i="3" s="1"/>
  <c r="D5" i="3"/>
  <c r="D6" i="3" s="1"/>
  <c r="D7" i="3" s="1"/>
  <c r="C14" i="2"/>
  <c r="B14" i="2"/>
  <c r="C13" i="2"/>
  <c r="D13" i="2" s="1"/>
  <c r="E13" i="2" s="1"/>
  <c r="F13" i="2" s="1"/>
  <c r="G13" i="2" s="1"/>
  <c r="H13" i="2" s="1"/>
  <c r="C12" i="2"/>
  <c r="B12" i="2"/>
  <c r="E11" i="2"/>
  <c r="F11" i="2"/>
  <c r="G11" i="2" s="1"/>
  <c r="H11" i="2" s="1"/>
  <c r="D11" i="2"/>
  <c r="C10" i="2"/>
  <c r="B10" i="2"/>
  <c r="E9" i="2"/>
  <c r="F9" i="2"/>
  <c r="G9" i="2" s="1"/>
  <c r="H9" i="2" s="1"/>
  <c r="D9" i="2"/>
  <c r="C7" i="2"/>
  <c r="D6" i="2"/>
  <c r="D7" i="2" s="1"/>
  <c r="D10" i="2" s="1"/>
  <c r="D12" i="2" s="1"/>
  <c r="D14" i="2" s="1"/>
  <c r="C6" i="2"/>
  <c r="E6" i="2"/>
  <c r="E7" i="2" s="1"/>
  <c r="E10" i="2" s="1"/>
  <c r="E12" i="2" s="1"/>
  <c r="E14" i="2" s="1"/>
  <c r="D10" i="3" l="1"/>
  <c r="D12" i="3" s="1"/>
  <c r="D14" i="3" s="1"/>
  <c r="F6" i="3"/>
  <c r="F7" i="3" s="1"/>
  <c r="F10" i="3" s="1"/>
  <c r="F12" i="3" s="1"/>
  <c r="F14" i="3" s="1"/>
  <c r="G5" i="3"/>
  <c r="E6" i="3"/>
  <c r="E7" i="3" s="1"/>
  <c r="E10" i="3" s="1"/>
  <c r="E12" i="3" s="1"/>
  <c r="E14" i="3" s="1"/>
  <c r="F16" i="6"/>
  <c r="G16" i="6"/>
  <c r="H16" i="6"/>
  <c r="F12" i="6"/>
  <c r="G12" i="6"/>
  <c r="H12" i="6"/>
  <c r="F8" i="6"/>
  <c r="G8" i="6"/>
  <c r="H8" i="6"/>
  <c r="F4" i="6"/>
  <c r="G4" i="6"/>
  <c r="H4" i="6"/>
  <c r="E16" i="6"/>
  <c r="D16" i="6"/>
  <c r="C16" i="6"/>
  <c r="E12" i="6"/>
  <c r="D12" i="6"/>
  <c r="C12" i="6"/>
  <c r="E8" i="6"/>
  <c r="D8" i="6"/>
  <c r="C8" i="6"/>
  <c r="E4" i="6"/>
  <c r="D4" i="6"/>
  <c r="C4" i="6"/>
  <c r="E16" i="4"/>
  <c r="D16" i="4"/>
  <c r="C16" i="4"/>
  <c r="E12" i="4"/>
  <c r="D12" i="4"/>
  <c r="C12" i="4"/>
  <c r="E8" i="4"/>
  <c r="D8" i="4"/>
  <c r="C8" i="4"/>
  <c r="D4" i="4"/>
  <c r="E4" i="4"/>
  <c r="C4" i="4"/>
  <c r="F6" i="2" l="1"/>
  <c r="F7" i="2" s="1"/>
  <c r="F10" i="2" s="1"/>
  <c r="F12" i="2" s="1"/>
  <c r="F14" i="2" s="1"/>
  <c r="H5" i="3"/>
  <c r="H6" i="3" s="1"/>
  <c r="H7" i="3" s="1"/>
  <c r="H10" i="3" s="1"/>
  <c r="H12" i="3" s="1"/>
  <c r="H14" i="3" s="1"/>
  <c r="G6" i="3"/>
  <c r="G7" i="3" s="1"/>
  <c r="G10" i="3" s="1"/>
  <c r="G12" i="3" s="1"/>
  <c r="G14" i="3" s="1"/>
  <c r="H2" i="3"/>
  <c r="G2" i="3"/>
  <c r="F2" i="3"/>
  <c r="E2" i="3"/>
  <c r="D2" i="3"/>
  <c r="C2" i="3"/>
  <c r="B2" i="3"/>
  <c r="C2" i="2"/>
  <c r="D2" i="2"/>
  <c r="E2" i="2"/>
  <c r="F2" i="2"/>
  <c r="G2" i="2"/>
  <c r="H2" i="2"/>
  <c r="B2" i="2"/>
  <c r="C10" i="1"/>
  <c r="C9" i="1"/>
  <c r="C7" i="1"/>
  <c r="H6" i="2" l="1"/>
  <c r="H7" i="2" s="1"/>
  <c r="H10" i="2" s="1"/>
  <c r="H12" i="2" s="1"/>
  <c r="H14" i="2" s="1"/>
  <c r="G6" i="2"/>
  <c r="G7" i="2" s="1"/>
  <c r="G10" i="2" s="1"/>
  <c r="G12" i="2" s="1"/>
  <c r="G14" i="2" s="1"/>
  <c r="B15" i="3"/>
  <c r="B15" i="2" l="1"/>
  <c r="B19" i="3"/>
  <c r="B20" i="3" s="1"/>
</calcChain>
</file>

<file path=xl/sharedStrings.xml><?xml version="1.0" encoding="utf-8"?>
<sst xmlns="http://schemas.openxmlformats.org/spreadsheetml/2006/main" count="104" uniqueCount="50">
  <si>
    <t>Without Branding (2003)</t>
  </si>
  <si>
    <t>With Corporate Branding</t>
  </si>
  <si>
    <t>Remarks</t>
  </si>
  <si>
    <t>Source</t>
  </si>
  <si>
    <t>Total no of unique guests</t>
  </si>
  <si>
    <t>Number of days avg guest stays</t>
  </si>
  <si>
    <t>Total no of repeat guest</t>
  </si>
  <si>
    <t>Total no of multiproperty guests</t>
  </si>
  <si>
    <t>Exhibit 8</t>
  </si>
  <si>
    <t>Page 6</t>
  </si>
  <si>
    <t>Avg daily spend ($)</t>
  </si>
  <si>
    <t>Growing at 6%</t>
  </si>
  <si>
    <t>Avg gross margin per room (%)</t>
  </si>
  <si>
    <t>Avg new guest acquisition expense ($)</t>
  </si>
  <si>
    <t>Growing at 3%</t>
  </si>
  <si>
    <t>Avg no of visits per year per guest</t>
  </si>
  <si>
    <t>Avg marketing expense per guest ($)</t>
  </si>
  <si>
    <t>5750 additional multiproperty guests from branding</t>
  </si>
  <si>
    <t>Additional costs required per annum ($)</t>
  </si>
  <si>
    <t>10% of 115000</t>
  </si>
  <si>
    <t>Discount Rate (%)</t>
  </si>
  <si>
    <t>Avg guest retention rate (%)</t>
  </si>
  <si>
    <t>Number of repreat guests / 115000</t>
  </si>
  <si>
    <t>Number of nights per stay</t>
  </si>
  <si>
    <t>Number of stays per guest</t>
  </si>
  <si>
    <t>Revenue per night</t>
  </si>
  <si>
    <t>Revenue per customer</t>
  </si>
  <si>
    <t>Gross profit per customer</t>
  </si>
  <si>
    <t>Cost to acquire customer</t>
  </si>
  <si>
    <t>Annual marketing cost per customer</t>
  </si>
  <si>
    <t>Cash flow from customer if retained</t>
  </si>
  <si>
    <t>Probability of getting retained</t>
  </si>
  <si>
    <t>Expected cash flow from customer</t>
  </si>
  <si>
    <t>Discount factor</t>
  </si>
  <si>
    <t>NPV</t>
  </si>
  <si>
    <t>Total NPV</t>
  </si>
  <si>
    <t>Year</t>
  </si>
  <si>
    <t>Year Slno</t>
  </si>
  <si>
    <t>Increase in CLV by Corporate Branding</t>
  </si>
  <si>
    <t>Increase in total profit by Corporate Branding</t>
  </si>
  <si>
    <t>Number of Rooms</t>
  </si>
  <si>
    <t>ADR ($)</t>
  </si>
  <si>
    <t>Occupancy (%)</t>
  </si>
  <si>
    <t>RevPAR ($)</t>
  </si>
  <si>
    <t>Orient Express Hotels</t>
  </si>
  <si>
    <t>Ritz Carlton</t>
  </si>
  <si>
    <t>Rosewood</t>
  </si>
  <si>
    <t>Four Seasons</t>
  </si>
  <si>
    <t>Profit from customer if retained</t>
  </si>
  <si>
    <t>Expected profit from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</si>
</sst>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C29" sqref="C29"/>
    </sheetView>
  </sheetViews>
  <sheetFormatPr defaultRowHeight="15" x14ac:dyDescent="0.25"/>
  <cols>
    <col min="1" max="1" width="20.28515625" bestFit="1" customWidth="1"/>
    <col min="2" max="2" width="17.28515625" bestFit="1" customWidth="1"/>
  </cols>
  <sheetData>
    <row r="1" spans="1:5" x14ac:dyDescent="0.25">
      <c r="C1">
        <v>2001</v>
      </c>
      <c r="D1">
        <v>2002</v>
      </c>
      <c r="E1">
        <v>2003</v>
      </c>
    </row>
    <row r="2" spans="1:5" x14ac:dyDescent="0.25">
      <c r="A2" s="8" t="s">
        <v>46</v>
      </c>
      <c r="B2" t="s">
        <v>41</v>
      </c>
      <c r="C2">
        <v>344</v>
      </c>
      <c r="D2">
        <v>334</v>
      </c>
      <c r="E2">
        <v>351</v>
      </c>
    </row>
    <row r="3" spans="1:5" x14ac:dyDescent="0.25">
      <c r="A3" s="8"/>
      <c r="B3" t="s">
        <v>42</v>
      </c>
      <c r="C3">
        <v>57</v>
      </c>
      <c r="D3">
        <v>61</v>
      </c>
      <c r="E3">
        <v>62</v>
      </c>
    </row>
    <row r="4" spans="1:5" x14ac:dyDescent="0.25">
      <c r="A4" s="8"/>
      <c r="B4" t="s">
        <v>43</v>
      </c>
      <c r="C4" s="4">
        <f>C2*C3/100</f>
        <v>196.08</v>
      </c>
      <c r="D4" s="4">
        <f t="shared" ref="D4:E4" si="0">D2*D3/100</f>
        <v>203.74</v>
      </c>
      <c r="E4" s="4">
        <f t="shared" si="0"/>
        <v>217.62</v>
      </c>
    </row>
    <row r="5" spans="1:5" x14ac:dyDescent="0.25">
      <c r="A5" s="8"/>
      <c r="B5" t="s">
        <v>40</v>
      </c>
      <c r="C5">
        <v>1859</v>
      </c>
      <c r="D5">
        <v>1714</v>
      </c>
      <c r="E5">
        <v>1513</v>
      </c>
    </row>
    <row r="6" spans="1:5" x14ac:dyDescent="0.25">
      <c r="A6" s="8" t="s">
        <v>47</v>
      </c>
      <c r="B6" t="s">
        <v>41</v>
      </c>
      <c r="C6">
        <v>287</v>
      </c>
      <c r="D6">
        <v>289</v>
      </c>
      <c r="E6">
        <v>299</v>
      </c>
    </row>
    <row r="7" spans="1:5" x14ac:dyDescent="0.25">
      <c r="A7" s="8"/>
      <c r="B7" t="s">
        <v>42</v>
      </c>
      <c r="C7">
        <v>65</v>
      </c>
      <c r="D7">
        <v>65</v>
      </c>
      <c r="E7">
        <v>62</v>
      </c>
    </row>
    <row r="8" spans="1:5" x14ac:dyDescent="0.25">
      <c r="A8" s="8"/>
      <c r="B8" t="s">
        <v>43</v>
      </c>
      <c r="C8" s="4">
        <f>C6*C7/100</f>
        <v>186.55</v>
      </c>
      <c r="D8" s="4">
        <f t="shared" ref="D8" si="1">D6*D7/100</f>
        <v>187.85</v>
      </c>
      <c r="E8" s="4">
        <f t="shared" ref="E8" si="2">E6*E7/100</f>
        <v>185.38</v>
      </c>
    </row>
    <row r="9" spans="1:5" x14ac:dyDescent="0.25">
      <c r="A9" s="8"/>
      <c r="B9" t="s">
        <v>40</v>
      </c>
      <c r="C9">
        <v>14598</v>
      </c>
      <c r="D9">
        <v>15433</v>
      </c>
      <c r="E9">
        <v>15726</v>
      </c>
    </row>
    <row r="10" spans="1:5" x14ac:dyDescent="0.25">
      <c r="A10" s="8" t="s">
        <v>45</v>
      </c>
      <c r="B10" t="s">
        <v>41</v>
      </c>
      <c r="C10">
        <v>250</v>
      </c>
      <c r="D10">
        <v>233</v>
      </c>
      <c r="E10">
        <v>231</v>
      </c>
    </row>
    <row r="11" spans="1:5" x14ac:dyDescent="0.25">
      <c r="A11" s="8"/>
      <c r="B11" t="s">
        <v>42</v>
      </c>
      <c r="C11">
        <v>67</v>
      </c>
      <c r="D11">
        <v>66</v>
      </c>
      <c r="E11">
        <v>66</v>
      </c>
    </row>
    <row r="12" spans="1:5" x14ac:dyDescent="0.25">
      <c r="A12" s="8"/>
      <c r="B12" t="s">
        <v>43</v>
      </c>
      <c r="C12" s="4">
        <f>C10*C11/100</f>
        <v>167.5</v>
      </c>
      <c r="D12" s="4">
        <f t="shared" ref="D12" si="3">D10*D11/100</f>
        <v>153.78</v>
      </c>
      <c r="E12" s="4">
        <f t="shared" ref="E12" si="4">E10*E11/100</f>
        <v>152.46</v>
      </c>
    </row>
    <row r="13" spans="1:5" x14ac:dyDescent="0.25">
      <c r="A13" s="8"/>
      <c r="B13" t="s">
        <v>40</v>
      </c>
      <c r="C13">
        <v>14826</v>
      </c>
      <c r="D13">
        <v>16566</v>
      </c>
      <c r="E13">
        <v>18347</v>
      </c>
    </row>
    <row r="14" spans="1:5" x14ac:dyDescent="0.25">
      <c r="A14" s="8" t="s">
        <v>44</v>
      </c>
      <c r="B14" t="s">
        <v>41</v>
      </c>
      <c r="C14">
        <v>276</v>
      </c>
      <c r="D14">
        <v>286</v>
      </c>
      <c r="E14">
        <v>340</v>
      </c>
    </row>
    <row r="15" spans="1:5" x14ac:dyDescent="0.25">
      <c r="A15" s="8"/>
      <c r="B15" t="s">
        <v>42</v>
      </c>
      <c r="C15">
        <v>63</v>
      </c>
      <c r="D15">
        <v>59</v>
      </c>
      <c r="E15">
        <v>54</v>
      </c>
    </row>
    <row r="16" spans="1:5" x14ac:dyDescent="0.25">
      <c r="A16" s="8"/>
      <c r="B16" t="s">
        <v>43</v>
      </c>
      <c r="C16" s="4">
        <f>C14*C15/100</f>
        <v>173.88</v>
      </c>
      <c r="D16" s="4">
        <f t="shared" ref="D16" si="5">D14*D15/100</f>
        <v>168.74</v>
      </c>
      <c r="E16" s="4">
        <f t="shared" ref="E16" si="6">E14*E15/100</f>
        <v>183.6</v>
      </c>
    </row>
    <row r="17" spans="1:5" x14ac:dyDescent="0.25">
      <c r="A17" s="8"/>
      <c r="B17" t="s">
        <v>40</v>
      </c>
      <c r="C17">
        <v>1914</v>
      </c>
      <c r="D17">
        <v>2104</v>
      </c>
      <c r="E17">
        <v>2177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3" sqref="D3"/>
    </sheetView>
  </sheetViews>
  <sheetFormatPr defaultRowHeight="15" x14ac:dyDescent="0.25"/>
  <cols>
    <col min="1" max="1" width="37" style="3" bestFit="1" customWidth="1"/>
    <col min="2" max="2" width="12.7109375" customWidth="1"/>
    <col min="3" max="3" width="20.28515625" customWidth="1"/>
    <col min="4" max="4" width="47.7109375" bestFit="1" customWidth="1"/>
  </cols>
  <sheetData>
    <row r="1" spans="1:5" s="1" customFormat="1" ht="4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 t="s">
        <v>4</v>
      </c>
      <c r="B2">
        <v>115000</v>
      </c>
      <c r="C2">
        <v>115000</v>
      </c>
      <c r="E2" t="s">
        <v>8</v>
      </c>
    </row>
    <row r="3" spans="1:5" x14ac:dyDescent="0.25">
      <c r="A3" s="3" t="s">
        <v>10</v>
      </c>
      <c r="B3">
        <v>750</v>
      </c>
      <c r="C3">
        <v>750</v>
      </c>
      <c r="D3" t="s">
        <v>11</v>
      </c>
      <c r="E3" t="s">
        <v>8</v>
      </c>
    </row>
    <row r="4" spans="1:5" x14ac:dyDescent="0.25">
      <c r="A4" s="3" t="s">
        <v>5</v>
      </c>
      <c r="B4">
        <v>2</v>
      </c>
      <c r="C4">
        <v>2</v>
      </c>
      <c r="E4" t="s">
        <v>8</v>
      </c>
    </row>
    <row r="5" spans="1:5" x14ac:dyDescent="0.25">
      <c r="A5" s="3" t="s">
        <v>12</v>
      </c>
      <c r="B5">
        <v>32</v>
      </c>
      <c r="C5">
        <v>32</v>
      </c>
      <c r="E5" t="s">
        <v>8</v>
      </c>
    </row>
    <row r="6" spans="1:5" x14ac:dyDescent="0.25">
      <c r="A6" s="3" t="s">
        <v>15</v>
      </c>
      <c r="B6">
        <v>1.2</v>
      </c>
      <c r="C6">
        <v>1.3</v>
      </c>
    </row>
    <row r="7" spans="1:5" x14ac:dyDescent="0.25">
      <c r="A7" s="3" t="s">
        <v>16</v>
      </c>
      <c r="B7">
        <v>130</v>
      </c>
      <c r="C7" s="7">
        <f>(B7*B2+1000000)/B2</f>
        <v>138.69565217391303</v>
      </c>
      <c r="D7" t="s">
        <v>14</v>
      </c>
      <c r="E7" t="s">
        <v>8</v>
      </c>
    </row>
    <row r="8" spans="1:5" x14ac:dyDescent="0.25">
      <c r="A8" s="3" t="s">
        <v>13</v>
      </c>
      <c r="B8">
        <v>150</v>
      </c>
      <c r="C8">
        <v>150</v>
      </c>
      <c r="E8" t="s">
        <v>8</v>
      </c>
    </row>
    <row r="9" spans="1:5" x14ac:dyDescent="0.25">
      <c r="A9" s="3" t="s">
        <v>6</v>
      </c>
      <c r="B9">
        <v>19169</v>
      </c>
      <c r="C9">
        <f>19169+5750</f>
        <v>24919</v>
      </c>
      <c r="D9" t="s">
        <v>17</v>
      </c>
      <c r="E9" t="s">
        <v>8</v>
      </c>
    </row>
    <row r="10" spans="1:5" x14ac:dyDescent="0.25">
      <c r="A10" s="3" t="s">
        <v>7</v>
      </c>
      <c r="B10">
        <v>5750</v>
      </c>
      <c r="C10">
        <f>10%*C2</f>
        <v>11500</v>
      </c>
      <c r="D10" t="s">
        <v>19</v>
      </c>
      <c r="E10" t="s">
        <v>8</v>
      </c>
    </row>
    <row r="11" spans="1:5" x14ac:dyDescent="0.25">
      <c r="A11" s="3" t="s">
        <v>18</v>
      </c>
      <c r="C11">
        <v>1000000</v>
      </c>
      <c r="E11" t="s">
        <v>9</v>
      </c>
    </row>
    <row r="12" spans="1:5" x14ac:dyDescent="0.25">
      <c r="A12" s="3" t="s">
        <v>20</v>
      </c>
      <c r="B12">
        <v>8</v>
      </c>
      <c r="C12">
        <v>8</v>
      </c>
      <c r="E12" t="s">
        <v>8</v>
      </c>
    </row>
    <row r="13" spans="1:5" x14ac:dyDescent="0.25">
      <c r="A13" s="3" t="s">
        <v>21</v>
      </c>
      <c r="B13">
        <v>16.670000000000002</v>
      </c>
      <c r="C13">
        <v>21.67</v>
      </c>
      <c r="D13" t="s">
        <v>22</v>
      </c>
      <c r="E13" t="s">
        <v>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9" sqref="D9"/>
    </sheetView>
  </sheetViews>
  <sheetFormatPr defaultRowHeight="15" x14ac:dyDescent="0.25"/>
  <cols>
    <col min="1" max="1" width="33.5703125" bestFit="1" customWidth="1"/>
  </cols>
  <sheetData>
    <row r="1" spans="1:8" x14ac:dyDescent="0.25">
      <c r="A1" s="3" t="s">
        <v>36</v>
      </c>
      <c r="B1" s="3">
        <v>2003</v>
      </c>
      <c r="C1" s="3">
        <v>2004</v>
      </c>
      <c r="D1" s="3">
        <v>2005</v>
      </c>
      <c r="E1" s="3">
        <v>2006</v>
      </c>
      <c r="F1" s="3">
        <v>2007</v>
      </c>
      <c r="G1" s="3">
        <v>2008</v>
      </c>
      <c r="H1" s="3">
        <v>2009</v>
      </c>
    </row>
    <row r="2" spans="1:8" x14ac:dyDescent="0.25">
      <c r="A2" s="3" t="s">
        <v>37</v>
      </c>
      <c r="B2" s="3">
        <f>B1-2003</f>
        <v>0</v>
      </c>
      <c r="C2" s="3">
        <f t="shared" ref="C2:H2" si="0">C1-2003</f>
        <v>1</v>
      </c>
      <c r="D2" s="3">
        <f t="shared" si="0"/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</row>
    <row r="3" spans="1:8" x14ac:dyDescent="0.25">
      <c r="A3" t="s">
        <v>23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 spans="1:8" x14ac:dyDescent="0.25">
      <c r="A4" t="s">
        <v>24</v>
      </c>
      <c r="C4">
        <v>1.2</v>
      </c>
      <c r="D4">
        <v>1.2</v>
      </c>
      <c r="E4">
        <v>1.2</v>
      </c>
      <c r="F4">
        <v>1.2</v>
      </c>
      <c r="G4">
        <v>1.2</v>
      </c>
      <c r="H4">
        <v>1.2</v>
      </c>
    </row>
    <row r="5" spans="1:8" x14ac:dyDescent="0.25">
      <c r="A5" t="s">
        <v>25</v>
      </c>
      <c r="C5" s="4">
        <v>750</v>
      </c>
      <c r="D5" s="4">
        <f>C5*1.06</f>
        <v>795</v>
      </c>
      <c r="E5" s="4">
        <f t="shared" ref="E5:H5" si="1">D5*1.06</f>
        <v>842.7</v>
      </c>
      <c r="F5" s="4">
        <f t="shared" si="1"/>
        <v>893.26200000000006</v>
      </c>
      <c r="G5" s="4">
        <f t="shared" si="1"/>
        <v>946.85772000000009</v>
      </c>
      <c r="H5" s="4">
        <f t="shared" si="1"/>
        <v>1003.6691832000001</v>
      </c>
    </row>
    <row r="6" spans="1:8" x14ac:dyDescent="0.25">
      <c r="A6" t="s">
        <v>26</v>
      </c>
      <c r="C6" s="4">
        <f>PRODUCT(C3:C5)</f>
        <v>1800</v>
      </c>
      <c r="D6" s="4">
        <f t="shared" ref="D6:H6" si="2">PRODUCT(D3:D5)</f>
        <v>1908</v>
      </c>
      <c r="E6" s="4">
        <f t="shared" si="2"/>
        <v>2022.48</v>
      </c>
      <c r="F6" s="4">
        <f t="shared" si="2"/>
        <v>2143.8288000000002</v>
      </c>
      <c r="G6" s="4">
        <f t="shared" si="2"/>
        <v>2272.4585280000001</v>
      </c>
      <c r="H6" s="4">
        <f t="shared" si="2"/>
        <v>2408.8060396800001</v>
      </c>
    </row>
    <row r="7" spans="1:8" s="3" customFormat="1" x14ac:dyDescent="0.25">
      <c r="A7" s="3" t="s">
        <v>27</v>
      </c>
      <c r="C7" s="5">
        <f>C6*0.32</f>
        <v>576</v>
      </c>
      <c r="D7" s="5">
        <f t="shared" ref="D7:H7" si="3">D6*0.32</f>
        <v>610.56000000000006</v>
      </c>
      <c r="E7" s="5">
        <f t="shared" si="3"/>
        <v>647.19360000000006</v>
      </c>
      <c r="F7" s="5">
        <f t="shared" si="3"/>
        <v>686.02521600000011</v>
      </c>
      <c r="G7" s="5">
        <f t="shared" si="3"/>
        <v>727.1867289600001</v>
      </c>
      <c r="H7" s="5">
        <f t="shared" si="3"/>
        <v>770.8179326976001</v>
      </c>
    </row>
    <row r="8" spans="1:8" x14ac:dyDescent="0.25">
      <c r="A8" t="s">
        <v>28</v>
      </c>
      <c r="B8">
        <v>150</v>
      </c>
    </row>
    <row r="9" spans="1:8" x14ac:dyDescent="0.25">
      <c r="A9" t="s">
        <v>29</v>
      </c>
      <c r="B9">
        <v>0</v>
      </c>
      <c r="C9" s="4">
        <v>130</v>
      </c>
      <c r="D9" s="4">
        <f>C9*1.03</f>
        <v>133.9</v>
      </c>
      <c r="E9" s="4">
        <f t="shared" ref="E9:H9" si="4">D9*1.03</f>
        <v>137.917</v>
      </c>
      <c r="F9" s="4">
        <f t="shared" si="4"/>
        <v>142.05450999999999</v>
      </c>
      <c r="G9" s="4">
        <f t="shared" si="4"/>
        <v>146.31614529999999</v>
      </c>
      <c r="H9" s="4">
        <f t="shared" si="4"/>
        <v>150.70562965899998</v>
      </c>
    </row>
    <row r="10" spans="1:8" s="3" customFormat="1" x14ac:dyDescent="0.25">
      <c r="A10" s="3" t="s">
        <v>48</v>
      </c>
      <c r="B10" s="3">
        <f>B7-B8-B9</f>
        <v>-150</v>
      </c>
      <c r="C10" s="3">
        <f t="shared" ref="C10:H10" si="5">C7-C8-C9</f>
        <v>446</v>
      </c>
      <c r="D10" s="3">
        <f t="shared" si="5"/>
        <v>476.66000000000008</v>
      </c>
      <c r="E10" s="3">
        <f t="shared" si="5"/>
        <v>509.27660000000003</v>
      </c>
      <c r="F10" s="3">
        <f t="shared" si="5"/>
        <v>543.97070600000006</v>
      </c>
      <c r="G10" s="3">
        <f t="shared" si="5"/>
        <v>580.87058366000008</v>
      </c>
      <c r="H10" s="3">
        <f t="shared" si="5"/>
        <v>620.11230303860009</v>
      </c>
    </row>
    <row r="11" spans="1:8" x14ac:dyDescent="0.25">
      <c r="A11" t="s">
        <v>31</v>
      </c>
      <c r="B11">
        <v>1</v>
      </c>
      <c r="C11">
        <v>1</v>
      </c>
      <c r="D11">
        <f>C11*0.1667</f>
        <v>0.16669999999999999</v>
      </c>
      <c r="E11">
        <f t="shared" ref="E11:H11" si="6">D11*0.1667</f>
        <v>2.7788889999999997E-2</v>
      </c>
      <c r="F11">
        <f t="shared" si="6"/>
        <v>4.632407962999999E-3</v>
      </c>
      <c r="G11">
        <f t="shared" si="6"/>
        <v>7.7222240743209981E-4</v>
      </c>
      <c r="H11">
        <f t="shared" si="6"/>
        <v>1.2872947531893103E-4</v>
      </c>
    </row>
    <row r="12" spans="1:8" x14ac:dyDescent="0.25">
      <c r="A12" s="3" t="s">
        <v>49</v>
      </c>
      <c r="B12" s="5">
        <f>B10*B11</f>
        <v>-150</v>
      </c>
      <c r="C12" s="5">
        <f t="shared" ref="C12:H12" si="7">C10*C11</f>
        <v>446</v>
      </c>
      <c r="D12" s="5">
        <f t="shared" si="7"/>
        <v>79.459222000000011</v>
      </c>
      <c r="E12" s="5">
        <f t="shared" si="7"/>
        <v>14.152231416973999</v>
      </c>
      <c r="F12" s="5">
        <f t="shared" si="7"/>
        <v>2.5198942301131315</v>
      </c>
      <c r="G12" s="5">
        <f t="shared" si="7"/>
        <v>0.44856128052041422</v>
      </c>
      <c r="H12" s="5">
        <f t="shared" si="7"/>
        <v>7.9826731408972951E-2</v>
      </c>
    </row>
    <row r="13" spans="1:8" x14ac:dyDescent="0.25">
      <c r="A13" t="s">
        <v>33</v>
      </c>
      <c r="B13" s="6">
        <v>1</v>
      </c>
      <c r="C13" s="6">
        <f>B13*1.08</f>
        <v>1.08</v>
      </c>
      <c r="D13" s="6">
        <f t="shared" ref="D13:H13" si="8">C13*1.08</f>
        <v>1.1664000000000001</v>
      </c>
      <c r="E13" s="6">
        <f t="shared" si="8"/>
        <v>1.2597120000000002</v>
      </c>
      <c r="F13" s="6">
        <f t="shared" si="8"/>
        <v>1.3604889600000003</v>
      </c>
      <c r="G13" s="6">
        <f t="shared" si="8"/>
        <v>1.4693280768000003</v>
      </c>
      <c r="H13" s="6">
        <f t="shared" si="8"/>
        <v>1.5868743229440005</v>
      </c>
    </row>
    <row r="14" spans="1:8" x14ac:dyDescent="0.25">
      <c r="A14" t="s">
        <v>34</v>
      </c>
      <c r="B14" s="4">
        <f>B12/B13</f>
        <v>-150</v>
      </c>
      <c r="C14" s="4">
        <f t="shared" ref="C14:H14" si="9">C12/C13</f>
        <v>412.96296296296293</v>
      </c>
      <c r="D14" s="4">
        <f t="shared" si="9"/>
        <v>68.123475651577508</v>
      </c>
      <c r="E14" s="4">
        <f t="shared" si="9"/>
        <v>11.234497581172519</v>
      </c>
      <c r="F14" s="4">
        <f t="shared" si="9"/>
        <v>1.852197485022687</v>
      </c>
      <c r="G14" s="4">
        <f t="shared" si="9"/>
        <v>0.30528327036213765</v>
      </c>
      <c r="H14" s="4">
        <f t="shared" si="9"/>
        <v>5.0304381547290285E-2</v>
      </c>
    </row>
    <row r="15" spans="1:8" x14ac:dyDescent="0.25">
      <c r="A15" s="3" t="s">
        <v>35</v>
      </c>
      <c r="B15" s="5">
        <f>SUM(B14:H14)</f>
        <v>344.52872133264509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I13" sqref="I13"/>
    </sheetView>
  </sheetViews>
  <sheetFormatPr defaultRowHeight="15" x14ac:dyDescent="0.25"/>
  <cols>
    <col min="1" max="1" width="41.7109375" bestFit="1" customWidth="1"/>
  </cols>
  <sheetData>
    <row r="1" spans="1:8" x14ac:dyDescent="0.25">
      <c r="A1" s="3" t="s">
        <v>36</v>
      </c>
      <c r="B1" s="3">
        <v>2003</v>
      </c>
      <c r="C1" s="3">
        <v>2004</v>
      </c>
      <c r="D1" s="3">
        <v>2005</v>
      </c>
      <c r="E1" s="3">
        <v>2006</v>
      </c>
      <c r="F1" s="3">
        <v>2007</v>
      </c>
      <c r="G1" s="3">
        <v>2008</v>
      </c>
      <c r="H1" s="3">
        <v>2009</v>
      </c>
    </row>
    <row r="2" spans="1:8" x14ac:dyDescent="0.25">
      <c r="A2" s="3" t="s">
        <v>37</v>
      </c>
      <c r="B2" s="3">
        <f>B1-2003</f>
        <v>0</v>
      </c>
      <c r="C2" s="3">
        <f t="shared" ref="C2:H2" si="0">C1-2003</f>
        <v>1</v>
      </c>
      <c r="D2" s="3">
        <f t="shared" si="0"/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</row>
    <row r="3" spans="1:8" x14ac:dyDescent="0.25">
      <c r="A3" t="s">
        <v>23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 spans="1:8" x14ac:dyDescent="0.25">
      <c r="A4" t="s">
        <v>24</v>
      </c>
      <c r="C4">
        <v>1.3</v>
      </c>
      <c r="D4">
        <v>1.3</v>
      </c>
      <c r="E4">
        <v>1.3</v>
      </c>
      <c r="F4">
        <v>1.3</v>
      </c>
      <c r="G4">
        <v>1.3</v>
      </c>
      <c r="H4">
        <v>1.3</v>
      </c>
    </row>
    <row r="5" spans="1:8" x14ac:dyDescent="0.25">
      <c r="A5" t="s">
        <v>25</v>
      </c>
      <c r="C5" s="4">
        <v>750</v>
      </c>
      <c r="D5" s="4">
        <f>C5*1.06</f>
        <v>795</v>
      </c>
      <c r="E5" s="4">
        <f t="shared" ref="E5:H5" si="1">D5*1.06</f>
        <v>842.7</v>
      </c>
      <c r="F5" s="4">
        <f t="shared" si="1"/>
        <v>893.26200000000006</v>
      </c>
      <c r="G5" s="4">
        <f t="shared" si="1"/>
        <v>946.85772000000009</v>
      </c>
      <c r="H5" s="4">
        <f t="shared" si="1"/>
        <v>1003.6691832000001</v>
      </c>
    </row>
    <row r="6" spans="1:8" x14ac:dyDescent="0.25">
      <c r="A6" t="s">
        <v>26</v>
      </c>
      <c r="C6" s="4">
        <f>PRODUCT(C3:C5)</f>
        <v>1950</v>
      </c>
      <c r="D6" s="4">
        <f t="shared" ref="D6:H6" si="2">PRODUCT(D3:D5)</f>
        <v>2067</v>
      </c>
      <c r="E6" s="4">
        <f t="shared" si="2"/>
        <v>2191.02</v>
      </c>
      <c r="F6" s="4">
        <f t="shared" si="2"/>
        <v>2322.4812000000002</v>
      </c>
      <c r="G6" s="4">
        <f t="shared" si="2"/>
        <v>2461.8300720000002</v>
      </c>
      <c r="H6" s="4">
        <f t="shared" si="2"/>
        <v>2609.5398763200005</v>
      </c>
    </row>
    <row r="7" spans="1:8" x14ac:dyDescent="0.25">
      <c r="A7" s="3" t="s">
        <v>27</v>
      </c>
      <c r="B7" s="3"/>
      <c r="C7" s="5">
        <f>C6*0.32</f>
        <v>624</v>
      </c>
      <c r="D7" s="5">
        <f t="shared" ref="D7:H7" si="3">D6*0.32</f>
        <v>661.44</v>
      </c>
      <c r="E7" s="5">
        <f t="shared" si="3"/>
        <v>701.12639999999999</v>
      </c>
      <c r="F7" s="5">
        <f t="shared" si="3"/>
        <v>743.19398400000011</v>
      </c>
      <c r="G7" s="5">
        <f t="shared" si="3"/>
        <v>787.78562304000013</v>
      </c>
      <c r="H7" s="5">
        <f t="shared" si="3"/>
        <v>835.05276042240018</v>
      </c>
    </row>
    <row r="8" spans="1:8" x14ac:dyDescent="0.25">
      <c r="A8" t="s">
        <v>28</v>
      </c>
      <c r="B8">
        <v>150</v>
      </c>
    </row>
    <row r="9" spans="1:8" x14ac:dyDescent="0.25">
      <c r="A9" t="s">
        <v>29</v>
      </c>
      <c r="B9">
        <f>1000000/115000</f>
        <v>8.695652173913043</v>
      </c>
      <c r="C9" s="4">
        <f>138.7+1000000/115000</f>
        <v>147.39565217391302</v>
      </c>
      <c r="D9" s="4">
        <f>C9*1.03+1000000/115000</f>
        <v>160.51317391304346</v>
      </c>
      <c r="E9" s="4">
        <f>D9*1.03+1000000/115000</f>
        <v>174.0242213043478</v>
      </c>
      <c r="F9" s="4">
        <f>E9*1.03+1000000/115000</f>
        <v>187.94060011739128</v>
      </c>
      <c r="G9" s="4">
        <f>F9*1.03+1000000/115000</f>
        <v>202.27447029482607</v>
      </c>
      <c r="H9" s="4">
        <f>G9*1.03+1000000/115000</f>
        <v>217.0383565775839</v>
      </c>
    </row>
    <row r="10" spans="1:8" x14ac:dyDescent="0.25">
      <c r="A10" s="3" t="s">
        <v>30</v>
      </c>
      <c r="B10" s="3">
        <f>B7-B8-B9</f>
        <v>-158.69565217391303</v>
      </c>
      <c r="C10" s="3">
        <f t="shared" ref="C10:H10" si="4">C7-C8-C9</f>
        <v>476.60434782608695</v>
      </c>
      <c r="D10" s="3">
        <f t="shared" si="4"/>
        <v>500.92682608695657</v>
      </c>
      <c r="E10" s="3">
        <f t="shared" si="4"/>
        <v>527.10217869565213</v>
      </c>
      <c r="F10" s="3">
        <f t="shared" si="4"/>
        <v>555.25338388260889</v>
      </c>
      <c r="G10" s="3">
        <f t="shared" si="4"/>
        <v>585.51115274517406</v>
      </c>
      <c r="H10" s="3">
        <f t="shared" si="4"/>
        <v>618.01440384481634</v>
      </c>
    </row>
    <row r="11" spans="1:8" x14ac:dyDescent="0.25">
      <c r="A11" t="s">
        <v>31</v>
      </c>
      <c r="B11">
        <v>1</v>
      </c>
      <c r="C11">
        <v>1</v>
      </c>
      <c r="D11">
        <f>C11*0.2167</f>
        <v>0.2167</v>
      </c>
      <c r="E11">
        <f t="shared" ref="E11:H11" si="5">D11*0.2167</f>
        <v>4.6958890000000003E-2</v>
      </c>
      <c r="F11">
        <f t="shared" si="5"/>
        <v>1.0175991463E-2</v>
      </c>
      <c r="G11">
        <f t="shared" si="5"/>
        <v>2.2051373500320999E-3</v>
      </c>
      <c r="H11">
        <f t="shared" si="5"/>
        <v>4.7785326375195607E-4</v>
      </c>
    </row>
    <row r="12" spans="1:8" x14ac:dyDescent="0.25">
      <c r="A12" s="3" t="s">
        <v>32</v>
      </c>
      <c r="B12" s="5">
        <f>B10*B11</f>
        <v>-158.69565217391303</v>
      </c>
      <c r="C12" s="5">
        <f t="shared" ref="C12:H12" si="6">C10*C11</f>
        <v>476.60434782608695</v>
      </c>
      <c r="D12" s="5">
        <f t="shared" si="6"/>
        <v>108.55084321304349</v>
      </c>
      <c r="E12" s="5">
        <f t="shared" si="6"/>
        <v>24.752133228129473</v>
      </c>
      <c r="F12" s="5">
        <f t="shared" si="6"/>
        <v>5.6502536941912895</v>
      </c>
      <c r="G12" s="5">
        <f t="shared" si="6"/>
        <v>1.2911325117787331</v>
      </c>
      <c r="H12" s="5">
        <f t="shared" si="6"/>
        <v>0.29532019992296493</v>
      </c>
    </row>
    <row r="13" spans="1:8" x14ac:dyDescent="0.25">
      <c r="A13" t="s">
        <v>33</v>
      </c>
      <c r="B13" s="6">
        <v>1</v>
      </c>
      <c r="C13" s="6">
        <f>B13*1.08</f>
        <v>1.08</v>
      </c>
      <c r="D13" s="6">
        <f t="shared" ref="D13:H13" si="7">C13*1.08</f>
        <v>1.1664000000000001</v>
      </c>
      <c r="E13" s="6">
        <f t="shared" si="7"/>
        <v>1.2597120000000002</v>
      </c>
      <c r="F13" s="6">
        <f t="shared" si="7"/>
        <v>1.3604889600000003</v>
      </c>
      <c r="G13" s="6">
        <f t="shared" si="7"/>
        <v>1.4693280768000003</v>
      </c>
      <c r="H13" s="6">
        <f t="shared" si="7"/>
        <v>1.5868743229440005</v>
      </c>
    </row>
    <row r="14" spans="1:8" x14ac:dyDescent="0.25">
      <c r="A14" t="s">
        <v>34</v>
      </c>
      <c r="B14" s="4">
        <f>B12/B13</f>
        <v>-158.69565217391303</v>
      </c>
      <c r="C14" s="4">
        <f t="shared" ref="C14:H14" si="8">C12/C13</f>
        <v>441.30032206119159</v>
      </c>
      <c r="D14" s="4">
        <f t="shared" si="8"/>
        <v>93.064851863034534</v>
      </c>
      <c r="E14" s="4">
        <f t="shared" si="8"/>
        <v>19.649041390515823</v>
      </c>
      <c r="F14" s="4">
        <f t="shared" si="8"/>
        <v>4.1531051411040396</v>
      </c>
      <c r="G14" s="4">
        <f t="shared" si="8"/>
        <v>0.8787230926605899</v>
      </c>
      <c r="H14" s="4">
        <f t="shared" si="8"/>
        <v>0.18610182019649865</v>
      </c>
    </row>
    <row r="15" spans="1:8" x14ac:dyDescent="0.25">
      <c r="A15" s="3" t="s">
        <v>35</v>
      </c>
      <c r="B15" s="5">
        <f>SUM(B14:H14)</f>
        <v>400.53649319479001</v>
      </c>
    </row>
    <row r="19" spans="1:2" x14ac:dyDescent="0.25">
      <c r="A19" s="3" t="s">
        <v>38</v>
      </c>
      <c r="B19" s="4">
        <f>B15-'CLV without Corporate Branding'!B15</f>
        <v>56.007771862144921</v>
      </c>
    </row>
    <row r="20" spans="1:2" x14ac:dyDescent="0.25">
      <c r="A20" s="3" t="s">
        <v>39</v>
      </c>
      <c r="B20">
        <f>B19*115000</f>
        <v>6440893.764146666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20" sqref="D20"/>
    </sheetView>
  </sheetViews>
  <sheetFormatPr defaultRowHeight="15" x14ac:dyDescent="0.25"/>
  <cols>
    <col min="1" max="1" width="20.28515625" bestFit="1" customWidth="1"/>
    <col min="2" max="2" width="17.28515625" bestFit="1" customWidth="1"/>
  </cols>
  <sheetData>
    <row r="1" spans="1:8" x14ac:dyDescent="0.25"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</row>
    <row r="2" spans="1:8" x14ac:dyDescent="0.25">
      <c r="A2" s="8" t="s">
        <v>46</v>
      </c>
      <c r="B2" t="s">
        <v>41</v>
      </c>
      <c r="C2">
        <v>344</v>
      </c>
      <c r="D2">
        <v>334</v>
      </c>
      <c r="E2">
        <v>351</v>
      </c>
      <c r="F2">
        <v>373</v>
      </c>
      <c r="G2">
        <v>394</v>
      </c>
      <c r="H2">
        <v>429</v>
      </c>
    </row>
    <row r="3" spans="1:8" x14ac:dyDescent="0.25">
      <c r="A3" s="8"/>
      <c r="B3" t="s">
        <v>42</v>
      </c>
      <c r="C3">
        <v>57</v>
      </c>
      <c r="D3">
        <v>61</v>
      </c>
      <c r="E3">
        <v>62</v>
      </c>
      <c r="F3">
        <v>65</v>
      </c>
      <c r="G3">
        <v>71</v>
      </c>
      <c r="H3">
        <v>70</v>
      </c>
    </row>
    <row r="4" spans="1:8" x14ac:dyDescent="0.25">
      <c r="A4" s="8"/>
      <c r="B4" t="s">
        <v>43</v>
      </c>
      <c r="C4" s="4">
        <f>C2*C3/100</f>
        <v>196.08</v>
      </c>
      <c r="D4" s="4">
        <f t="shared" ref="D4:E4" si="0">D2*D3/100</f>
        <v>203.74</v>
      </c>
      <c r="E4" s="4">
        <f t="shared" si="0"/>
        <v>217.62</v>
      </c>
      <c r="F4" s="4">
        <f t="shared" ref="F4" si="1">F2*F3/100</f>
        <v>242.45</v>
      </c>
      <c r="G4" s="4">
        <f t="shared" ref="G4" si="2">G2*G3/100</f>
        <v>279.74</v>
      </c>
      <c r="H4" s="4">
        <f t="shared" ref="H4" si="3">H2*H3/100</f>
        <v>300.3</v>
      </c>
    </row>
    <row r="5" spans="1:8" x14ac:dyDescent="0.25">
      <c r="A5" s="8"/>
      <c r="B5" t="s">
        <v>40</v>
      </c>
      <c r="C5">
        <v>1859</v>
      </c>
      <c r="D5">
        <v>1714</v>
      </c>
      <c r="E5">
        <v>1513</v>
      </c>
      <c r="F5">
        <v>1512</v>
      </c>
      <c r="G5">
        <v>1473</v>
      </c>
      <c r="H5">
        <v>1665</v>
      </c>
    </row>
    <row r="6" spans="1:8" x14ac:dyDescent="0.25">
      <c r="A6" s="8" t="s">
        <v>47</v>
      </c>
      <c r="B6" t="s">
        <v>41</v>
      </c>
      <c r="C6">
        <v>287</v>
      </c>
      <c r="D6">
        <v>289</v>
      </c>
      <c r="E6">
        <v>299</v>
      </c>
      <c r="F6">
        <v>307</v>
      </c>
      <c r="G6">
        <v>329</v>
      </c>
      <c r="H6">
        <v>377</v>
      </c>
    </row>
    <row r="7" spans="1:8" x14ac:dyDescent="0.25">
      <c r="A7" s="8"/>
      <c r="B7" t="s">
        <v>42</v>
      </c>
      <c r="C7">
        <v>65</v>
      </c>
      <c r="D7">
        <v>65</v>
      </c>
      <c r="E7">
        <v>62</v>
      </c>
      <c r="F7">
        <v>67</v>
      </c>
      <c r="G7">
        <v>68</v>
      </c>
      <c r="H7">
        <v>69</v>
      </c>
    </row>
    <row r="8" spans="1:8" x14ac:dyDescent="0.25">
      <c r="A8" s="8"/>
      <c r="B8" t="s">
        <v>43</v>
      </c>
      <c r="C8" s="4">
        <f>C6*C7/100</f>
        <v>186.55</v>
      </c>
      <c r="D8" s="4">
        <f t="shared" ref="D8:E8" si="4">D6*D7/100</f>
        <v>187.85</v>
      </c>
      <c r="E8" s="4">
        <f t="shared" si="4"/>
        <v>185.38</v>
      </c>
      <c r="F8" s="4">
        <f t="shared" ref="F8" si="5">F6*F7/100</f>
        <v>205.69</v>
      </c>
      <c r="G8" s="4">
        <f t="shared" ref="G8" si="6">G6*G7/100</f>
        <v>223.72</v>
      </c>
      <c r="H8" s="4">
        <f t="shared" ref="H8" si="7">H6*H7/100</f>
        <v>260.13</v>
      </c>
    </row>
    <row r="9" spans="1:8" x14ac:dyDescent="0.25">
      <c r="A9" s="8"/>
      <c r="B9" t="s">
        <v>40</v>
      </c>
      <c r="C9">
        <v>14598</v>
      </c>
      <c r="D9">
        <v>15433</v>
      </c>
      <c r="E9">
        <v>15726</v>
      </c>
      <c r="F9">
        <v>16375</v>
      </c>
      <c r="G9">
        <v>17300</v>
      </c>
      <c r="H9">
        <v>18025</v>
      </c>
    </row>
    <row r="10" spans="1:8" x14ac:dyDescent="0.25">
      <c r="A10" s="8" t="s">
        <v>45</v>
      </c>
      <c r="B10" t="s">
        <v>41</v>
      </c>
      <c r="C10">
        <v>250</v>
      </c>
      <c r="D10">
        <v>233</v>
      </c>
      <c r="E10">
        <v>231</v>
      </c>
      <c r="F10">
        <v>257</v>
      </c>
      <c r="G10">
        <v>288</v>
      </c>
      <c r="H10">
        <v>306</v>
      </c>
    </row>
    <row r="11" spans="1:8" x14ac:dyDescent="0.25">
      <c r="A11" s="8"/>
      <c r="B11" t="s">
        <v>42</v>
      </c>
      <c r="C11">
        <v>67</v>
      </c>
      <c r="D11">
        <v>66</v>
      </c>
      <c r="E11">
        <v>66</v>
      </c>
      <c r="F11">
        <v>69</v>
      </c>
      <c r="G11">
        <v>71</v>
      </c>
      <c r="H11">
        <v>73</v>
      </c>
    </row>
    <row r="12" spans="1:8" x14ac:dyDescent="0.25">
      <c r="A12" s="8"/>
      <c r="B12" t="s">
        <v>43</v>
      </c>
      <c r="C12" s="4">
        <f>C10*C11/100</f>
        <v>167.5</v>
      </c>
      <c r="D12" s="4">
        <f t="shared" ref="D12:E12" si="8">D10*D11/100</f>
        <v>153.78</v>
      </c>
      <c r="E12" s="4">
        <f t="shared" si="8"/>
        <v>152.46</v>
      </c>
      <c r="F12" s="4">
        <f t="shared" ref="F12" si="9">F10*F11/100</f>
        <v>177.33</v>
      </c>
      <c r="G12" s="4">
        <f t="shared" ref="G12" si="10">G10*G11/100</f>
        <v>204.48</v>
      </c>
      <c r="H12" s="4">
        <f t="shared" ref="H12" si="11">H10*H11/100</f>
        <v>223.38</v>
      </c>
    </row>
    <row r="13" spans="1:8" x14ac:dyDescent="0.25">
      <c r="A13" s="8"/>
      <c r="B13" t="s">
        <v>40</v>
      </c>
      <c r="C13">
        <v>14826</v>
      </c>
      <c r="D13">
        <v>16566</v>
      </c>
      <c r="E13">
        <v>18347</v>
      </c>
      <c r="F13">
        <v>18669</v>
      </c>
      <c r="G13">
        <v>19285</v>
      </c>
      <c r="H13">
        <v>19406</v>
      </c>
    </row>
    <row r="14" spans="1:8" x14ac:dyDescent="0.25">
      <c r="A14" s="8" t="s">
        <v>44</v>
      </c>
      <c r="B14" t="s">
        <v>41</v>
      </c>
      <c r="C14">
        <v>276</v>
      </c>
      <c r="D14">
        <v>286</v>
      </c>
      <c r="E14">
        <v>340</v>
      </c>
      <c r="F14">
        <v>366</v>
      </c>
      <c r="G14">
        <v>375</v>
      </c>
      <c r="H14">
        <v>382</v>
      </c>
    </row>
    <row r="15" spans="1:8" x14ac:dyDescent="0.25">
      <c r="A15" s="8"/>
      <c r="B15" t="s">
        <v>42</v>
      </c>
      <c r="C15">
        <v>63</v>
      </c>
      <c r="D15">
        <v>59</v>
      </c>
      <c r="E15">
        <v>54</v>
      </c>
      <c r="F15">
        <v>58</v>
      </c>
      <c r="G15">
        <v>61</v>
      </c>
      <c r="H15">
        <v>63</v>
      </c>
    </row>
    <row r="16" spans="1:8" x14ac:dyDescent="0.25">
      <c r="A16" s="8"/>
      <c r="B16" t="s">
        <v>43</v>
      </c>
      <c r="C16" s="4">
        <f>C14*C15/100</f>
        <v>173.88</v>
      </c>
      <c r="D16" s="4">
        <f t="shared" ref="D16:E16" si="12">D14*D15/100</f>
        <v>168.74</v>
      </c>
      <c r="E16" s="4">
        <f t="shared" si="12"/>
        <v>183.6</v>
      </c>
      <c r="F16" s="4">
        <f t="shared" ref="F16" si="13">F14*F15/100</f>
        <v>212.28</v>
      </c>
      <c r="G16" s="4">
        <f t="shared" ref="G16" si="14">G14*G15/100</f>
        <v>228.75</v>
      </c>
      <c r="H16" s="4">
        <f t="shared" ref="H16" si="15">H14*H15/100</f>
        <v>240.66</v>
      </c>
    </row>
    <row r="17" spans="1:8" x14ac:dyDescent="0.25">
      <c r="A17" s="8"/>
      <c r="B17" t="s">
        <v>40</v>
      </c>
      <c r="C17">
        <v>1914</v>
      </c>
      <c r="D17">
        <v>2104</v>
      </c>
      <c r="E17">
        <v>2177</v>
      </c>
      <c r="F17">
        <v>2209</v>
      </c>
      <c r="G17">
        <v>2307</v>
      </c>
      <c r="H17">
        <v>2442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Assumptions</vt:lpstr>
      <vt:lpstr>CLV without Corporate Branding</vt:lpstr>
      <vt:lpstr>CLV with Corporate Branding</vt:lpstr>
      <vt:lpstr>Post Comparison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2019-05-14T08:33:11Z</dcterms:modified>
</cp:coreProperties>
</file>